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Documents\Databases\RC-DAT-1601 IDMAS\Others\Data Analysis\2017-04-18 Revised Remaining Life Calculation\"/>
    </mc:Choice>
  </mc:AlternateContent>
  <bookViews>
    <workbookView xWindow="0" yWindow="0" windowWidth="17865" windowHeight="8820" activeTab="1"/>
  </bookViews>
  <sheets>
    <sheet name="CML" sheetId="1" r:id="rId1"/>
    <sheet name="Wall_Loss_Bands" sheetId="2" r:id="rId2"/>
  </sheets>
  <functionGroups builtInGroupCount="18"/>
  <externalReferences>
    <externalReference r:id="rId3"/>
  </externalReferences>
  <definedNames>
    <definedName name="_xlnm.Print_Area" localSheetId="1">Wall_Loss_Bands!$A$1:$S$47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" i="2" l="1"/>
  <c r="I6" i="2"/>
  <c r="I5" i="2"/>
  <c r="A3" i="1"/>
  <c r="A4" i="1"/>
  <c r="A5" i="1"/>
  <c r="A6" i="1"/>
  <c r="A7" i="1"/>
  <c r="A8" i="1"/>
  <c r="A9" i="1"/>
  <c r="A10" i="1"/>
  <c r="A11" i="1"/>
  <c r="A2" i="1"/>
  <c r="N10" i="1" l="1"/>
  <c r="C5" i="2"/>
  <c r="N2" i="1"/>
</calcChain>
</file>

<file path=xl/sharedStrings.xml><?xml version="1.0" encoding="utf-8"?>
<sst xmlns="http://schemas.openxmlformats.org/spreadsheetml/2006/main" count="229" uniqueCount="138">
  <si>
    <t>EQUIPMENT_ID</t>
  </si>
  <si>
    <t>CML_NO</t>
  </si>
  <si>
    <t>CMLLOCATION</t>
  </si>
  <si>
    <t>CMLSTATUS</t>
  </si>
  <si>
    <t>LOCATIONDESCRIPTION</t>
  </si>
  <si>
    <t>CMLTYPE</t>
  </si>
  <si>
    <t>LASTINSPECTIONDATE</t>
  </si>
  <si>
    <t>NOMINALDIAMETER</t>
  </si>
  <si>
    <t>OUTSIDEDIAMETER</t>
  </si>
  <si>
    <t>NOMINALWALLTHICKNESS</t>
  </si>
  <si>
    <t>MINREMAININGWALLTHICKNESS</t>
  </si>
  <si>
    <t>DEPTHOFLOSS</t>
  </si>
  <si>
    <t>PERCENTAGELOSS</t>
  </si>
  <si>
    <t>PHOTO</t>
  </si>
  <si>
    <t>MINALLOWWALLTHICKNESS</t>
  </si>
  <si>
    <t>MAXCALCCORROSIONRATE</t>
  </si>
  <si>
    <t>MAXCALCCORROSIONRATENOTES</t>
  </si>
  <si>
    <t>DLMAXCORROSIONRATE</t>
  </si>
  <si>
    <t>APPLIEDCORROSIONRATE</t>
  </si>
  <si>
    <t>APPLIEDCORROSIONRATENOTES</t>
  </si>
  <si>
    <t>DAMAGEMECHANISM</t>
  </si>
  <si>
    <t>FAILUREMODE</t>
  </si>
  <si>
    <t>REMAININGLIFEACTUALCR</t>
  </si>
  <si>
    <t>REMAININGLIFEDLMCR</t>
  </si>
  <si>
    <t>REMAININGLIFEMAXACR</t>
  </si>
  <si>
    <t>DESIGNLIFE</t>
  </si>
  <si>
    <t>LRLDACTUAL</t>
  </si>
  <si>
    <t>LRLDAPPLIED</t>
  </si>
  <si>
    <t>POFACTUAL</t>
  </si>
  <si>
    <t>POFAPPLIED</t>
  </si>
  <si>
    <t>CRITICALITYRATINGACTUAL</t>
  </si>
  <si>
    <t>CRITICALITYRATINGAPPLIED</t>
  </si>
  <si>
    <t>CONFDEGRADATION</t>
  </si>
  <si>
    <t>CONFMONITORING</t>
  </si>
  <si>
    <t>CONFMULTIINSPECTIONS</t>
  </si>
  <si>
    <t>CONFIDENCESCORE</t>
  </si>
  <si>
    <t>CONFIDENCERATING</t>
  </si>
  <si>
    <t>INSPECTIONINTFACTORACTUAL</t>
  </si>
  <si>
    <t>INSPECTIONINTFACTORAPPLIED</t>
  </si>
  <si>
    <t>RBI_INTERVAL_ACTUAL</t>
  </si>
  <si>
    <t>RBI_INTERVAL_APPLIED</t>
  </si>
  <si>
    <t>ERROR_CODE</t>
  </si>
  <si>
    <t>COMMENTS</t>
  </si>
  <si>
    <t>CMLSTATUSREMEDIATION</t>
  </si>
  <si>
    <t>CML_STATUS_REMEDIATION_COMMENTS</t>
  </si>
  <si>
    <t>TEMPORARY_REPAIR_INSTALLED</t>
  </si>
  <si>
    <t>TEMPORARY_REPAIR_INSTALLED_COMMENTS</t>
  </si>
  <si>
    <t>ASME_31_3_MIN_ALLOW_WALL_THICKNESS_DESIGN_PRESSURE</t>
  </si>
  <si>
    <t>ASME_31_3_MIN_ALLOW_WALL_THICKNESS_OPERATING_PRESSURE</t>
  </si>
  <si>
    <t>API_574_MIN_ALLOW_WALL_THICKNESS</t>
  </si>
  <si>
    <t>MIN_ALLOW_WALL_THICKNESS_CODE</t>
  </si>
  <si>
    <t>END_OF_LIFE</t>
  </si>
  <si>
    <t>TEMPORARY_REPAIR_DATE</t>
  </si>
  <si>
    <t>ACTUALCORROSIONRATE</t>
  </si>
  <si>
    <t>DAMAGELOOPNO</t>
  </si>
  <si>
    <t>HALF_LIFE</t>
  </si>
  <si>
    <t>UTM_ZONE</t>
  </si>
  <si>
    <t>UTM_EASTING</t>
  </si>
  <si>
    <t>UTM_NORTHING</t>
  </si>
  <si>
    <t>HC-42021-80-D10PL</t>
  </si>
  <si>
    <t>C</t>
  </si>
  <si>
    <t>1990-01-01</t>
  </si>
  <si>
    <t>Premliminary ACR</t>
  </si>
  <si>
    <t>Medium</t>
  </si>
  <si>
    <t>DUMMY CML USED FOR REMAINING LIFE CALCULATIONS (JF)</t>
  </si>
  <si>
    <t>false</t>
  </si>
  <si>
    <t>S</t>
  </si>
  <si>
    <t>BWI-1800-PF-D02</t>
  </si>
  <si>
    <t>Coating Condition</t>
  </si>
  <si>
    <t>Visual</t>
  </si>
  <si>
    <t>2017-02-27</t>
  </si>
  <si>
    <t>O</t>
  </si>
  <si>
    <t>External Corrosion</t>
  </si>
  <si>
    <t>Supports</t>
  </si>
  <si>
    <t>Other Findings</t>
  </si>
  <si>
    <t>CPF-58 - HVB-141</t>
  </si>
  <si>
    <t>SBF</t>
  </si>
  <si>
    <t>2000-01-01</t>
  </si>
  <si>
    <t>13229</t>
  </si>
  <si>
    <t>based on DLMCR</t>
  </si>
  <si>
    <t>INTERNAL CORROSION</t>
  </si>
  <si>
    <t>LEAK</t>
  </si>
  <si>
    <t>Severe</t>
  </si>
  <si>
    <t>BWI-1313-PF-D08</t>
  </si>
  <si>
    <t>FA-B2500-004-100-D7</t>
  </si>
  <si>
    <t>Strainer  F-601</t>
  </si>
  <si>
    <t>Pump P-600</t>
  </si>
  <si>
    <t>Very High</t>
  </si>
  <si>
    <t>BWI-2500-FA-D01</t>
  </si>
  <si>
    <t>Strainer F-602</t>
  </si>
  <si>
    <t>K35 Wellhead</t>
  </si>
  <si>
    <t>Threaded straight pipe section between well head tee and annulus valve</t>
  </si>
  <si>
    <t>Piping</t>
  </si>
  <si>
    <t>2016-09-27</t>
  </si>
  <si>
    <t>11535</t>
  </si>
  <si>
    <t>Based on Max CR of the same CMLs with less than 1mm wall loss (JF/PW)</t>
  </si>
  <si>
    <t>Internal Corrosion</t>
  </si>
  <si>
    <t>Leak</t>
  </si>
  <si>
    <t>2032-08-23</t>
  </si>
  <si>
    <t>BWI-1100-WI-D03</t>
  </si>
  <si>
    <t>HC-42369-50-D9</t>
  </si>
  <si>
    <t>Elbow</t>
  </si>
  <si>
    <t>2015-11-01</t>
  </si>
  <si>
    <t>2034-01-01</t>
  </si>
  <si>
    <t>BWI-1307-RD-D01</t>
  </si>
  <si>
    <t>Remaining Life New</t>
  </si>
  <si>
    <t>Depth of Loss New</t>
  </si>
  <si>
    <t>ACR New</t>
  </si>
  <si>
    <t>New Calculation</t>
  </si>
  <si>
    <t>Old Calculation</t>
  </si>
  <si>
    <t>Wall Loss</t>
  </si>
  <si>
    <t>Comments</t>
  </si>
  <si>
    <t>Damageloop</t>
  </si>
  <si>
    <t>ALL</t>
  </si>
  <si>
    <t>ACR (mm/yr)</t>
  </si>
  <si>
    <t>0 - 1 mm</t>
  </si>
  <si>
    <t>1 - 2 mm</t>
  </si>
  <si>
    <t>2 - 3 mm</t>
  </si>
  <si>
    <t>&gt; 3 mm</t>
  </si>
  <si>
    <t>&gt; Nominal Wt</t>
  </si>
  <si>
    <t>wall_loss</t>
  </si>
  <si>
    <t>acr</t>
  </si>
  <si>
    <t>date_value</t>
  </si>
  <si>
    <t>ACR Bands Applied</t>
  </si>
  <si>
    <t>Todays Date</t>
  </si>
  <si>
    <t>Remaining Life Date</t>
  </si>
  <si>
    <t>Nominal Wall Thickness Value</t>
  </si>
  <si>
    <t>OUTPUTS</t>
  </si>
  <si>
    <t>INPUTS</t>
  </si>
  <si>
    <t>Last Inspection Date</t>
  </si>
  <si>
    <t>Last Inspection Date Wall Loss</t>
  </si>
  <si>
    <t>ACR Bands Array</t>
  </si>
  <si>
    <t>Nominal Wall Thickness</t>
  </si>
  <si>
    <t>B5:C9</t>
  </si>
  <si>
    <t>Equipment_ID</t>
  </si>
  <si>
    <t>CML_ID</t>
  </si>
  <si>
    <t>PRIMARY KEY</t>
  </si>
  <si>
    <t>Recommended ACR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</si>
</sst>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/>
    <xf numFmtId="0" fontId="0" fillId="2" borderId="0" xfId="0" applyFill="1" applyAlignment="1"/>
    <xf numFmtId="0" fontId="0" fillId="3" borderId="0" xfId="0" applyFill="1" applyAlignment="1"/>
    <xf numFmtId="0" fontId="0" fillId="3" borderId="0" xfId="0" applyFill="1"/>
    <xf numFmtId="0" fontId="0" fillId="4" borderId="0" xfId="0" applyFill="1" applyAlignment="1"/>
    <xf numFmtId="0" fontId="0" fillId="4" borderId="0" xfId="0" applyFill="1"/>
    <xf numFmtId="0" fontId="0" fillId="0" borderId="0" xfId="0" applyFill="1"/>
    <xf numFmtId="0" fontId="0" fillId="0" borderId="0" xfId="0" applyFill="1" applyAlignme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1" fillId="5" borderId="1" xfId="0" applyFont="1" applyFill="1" applyBorder="1" applyAlignment="1">
      <alignment horizontal="center"/>
    </xf>
    <xf numFmtId="22" fontId="0" fillId="0" borderId="0" xfId="0" applyNumberFormat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19" fontId="0" fillId="0" borderId="0" xfId="0" applyNumberFormat="1"/>
    <xf numFmtId="2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2" fontId="1" fillId="5" borderId="1" xfId="0" applyNumberFormat="1" applyFont="1" applyFill="1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2" fillId="0" borderId="5" xfId="0" applyFont="1" applyFill="1" applyBorder="1" applyAlignment="1">
      <alignment horizontal="left"/>
    </xf>
    <xf numFmtId="14" fontId="1" fillId="5" borderId="7" xfId="0" applyNumberFormat="1" applyFont="1" applyFill="1" applyBorder="1" applyAlignment="1">
      <alignment horizontal="center"/>
    </xf>
    <xf numFmtId="0" fontId="2" fillId="0" borderId="5" xfId="0" applyFont="1" applyBorder="1"/>
    <xf numFmtId="14" fontId="0" fillId="0" borderId="7" xfId="0" applyNumberFormat="1" applyFont="1" applyBorder="1" applyAlignment="1">
      <alignment horizontal="center"/>
    </xf>
    <xf numFmtId="0" fontId="0" fillId="0" borderId="8" xfId="0" applyBorder="1"/>
    <xf numFmtId="19" fontId="0" fillId="0" borderId="9" xfId="0" applyNumberFormat="1" applyBorder="1"/>
    <xf numFmtId="0" fontId="0" fillId="0" borderId="9" xfId="0" applyBorder="1"/>
    <xf numFmtId="0" fontId="0" fillId="0" borderId="10" xfId="0" applyBorder="1"/>
    <xf numFmtId="0" fontId="1" fillId="5" borderId="7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14" fontId="0" fillId="0" borderId="1" xfId="0" applyNumberFormat="1" applyFont="1" applyBorder="1" applyAlignment="1">
      <alignment horizontal="center"/>
    </xf>
    <xf numFmtId="0" fontId="0" fillId="0" borderId="1" xfId="0" applyBorder="1"/>
    <xf numFmtId="0" fontId="1" fillId="0" borderId="1" xfId="0" applyFont="1" applyFill="1" applyBorder="1" applyAlignment="1">
      <alignment horizontal="right"/>
    </xf>
    <xf numFmtId="0" fontId="1" fillId="0" borderId="11" xfId="0" applyFont="1" applyFill="1" applyBorder="1" applyAlignment="1">
      <alignment horizontal="right"/>
    </xf>
    <xf numFmtId="0" fontId="1" fillId="0" borderId="12" xfId="0" applyFont="1" applyFill="1" applyBorder="1" applyAlignment="1">
      <alignment horizontal="right"/>
    </xf>
    <xf numFmtId="0" fontId="1" fillId="0" borderId="13" xfId="0" applyFont="1" applyFill="1" applyBorder="1" applyAlignment="1">
      <alignment horizontal="right"/>
    </xf>
    <xf numFmtId="0" fontId="1" fillId="5" borderId="1" xfId="0" applyFont="1" applyFill="1" applyBorder="1" applyAlignment="1">
      <alignment horizontal="right"/>
    </xf>
    <xf numFmtId="14" fontId="0" fillId="0" borderId="1" xfId="0" applyNumberFormat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14" fontId="0" fillId="0" borderId="5" xfId="0" applyNumberFormat="1" applyFont="1" applyBorder="1" applyAlignment="1">
      <alignment horizontal="center"/>
    </xf>
    <xf numFmtId="14" fontId="1" fillId="5" borderId="1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</cellXfs>
  <cellStyles count="1">
    <cellStyle name="Normal" xfId="0" builtinId="0"/>
  </cellStyles>
  <dxfs count="3"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16917462532286"/>
          <c:y val="9.2492810890724822E-2"/>
          <c:w val="0.8040847695540384"/>
          <c:h val="0.63074793877830748"/>
        </c:manualLayout>
      </c:layout>
      <c:scatterChart>
        <c:scatterStyle val="lineMarker"/>
        <c:varyColors val="0"/>
        <c:ser>
          <c:idx val="0"/>
          <c:order val="0"/>
          <c:tx>
            <c:v>Data Points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8.4377751471313087E-2"/>
                  <c:y val="-0.11752526666741338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5.7726159162783335E-2"/>
                  <c:y val="1.137980085348506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6.3042755813341692E-2"/>
                  <c:y val="0.1636263128800442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0579750833361468"/>
                  <c:y val="-9.5080154781647316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1.1263640812250304E-2"/>
                  <c:y val="6.2588904694167849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2.8391601284513662E-3"/>
                  <c:y val="-0.1149806522940851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5470095056879077E-3"/>
                  <c:y val="-6.412382531785525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xVal>
            <c:numRef>
              <c:f>Wall_Loss_Bands!$A$34:$A$47</c:f>
              <c:numCache>
                <c:formatCode>m/d/yyyy</c:formatCode>
                <c:ptCount val="14"/>
                <c:pt idx="0">
                  <c:v>42640</c:v>
                </c:pt>
                <c:pt idx="1">
                  <c:v>42844</c:v>
                </c:pt>
                <c:pt idx="2">
                  <c:v>44160</c:v>
                </c:pt>
                <c:pt idx="3">
                  <c:v>45376</c:v>
                </c:pt>
                <c:pt idx="4">
                  <c:v>45741</c:v>
                </c:pt>
                <c:pt idx="5">
                  <c:v>47128</c:v>
                </c:pt>
              </c:numCache>
            </c:numRef>
          </c:xVal>
          <c:yVal>
            <c:numRef>
              <c:f>Wall_Loss_Bands!$B$34:$B$47</c:f>
              <c:numCache>
                <c:formatCode>0.00</c:formatCode>
                <c:ptCount val="14"/>
                <c:pt idx="0">
                  <c:v>0.5</c:v>
                </c:pt>
                <c:pt idx="1">
                  <c:v>0.56706849315068497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10.6</c:v>
                </c:pt>
              </c:numCache>
            </c:numRef>
          </c:yVal>
          <c:smooth val="0"/>
        </c:ser>
        <c:ser>
          <c:idx val="1"/>
          <c:order val="1"/>
          <c:tx>
            <c:v>Today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Wall_Loss_Bands!$A$15:$A$16</c:f>
              <c:numCache>
                <c:formatCode>m/d/yyyy</c:formatCode>
                <c:ptCount val="2"/>
                <c:pt idx="0">
                  <c:v>42844</c:v>
                </c:pt>
                <c:pt idx="1">
                  <c:v>42844</c:v>
                </c:pt>
              </c:numCache>
            </c:numRef>
          </c:xVal>
          <c:yVal>
            <c:numRef>
              <c:f>Wall_Loss_Bands!$B$15:$B$16</c:f>
              <c:numCache>
                <c:formatCode>General</c:formatCode>
                <c:ptCount val="2"/>
                <c:pt idx="0">
                  <c:v>0</c:v>
                </c:pt>
                <c:pt idx="1">
                  <c:v>10.6</c:v>
                </c:pt>
              </c:numCache>
            </c:numRef>
          </c:yVal>
          <c:smooth val="0"/>
        </c:ser>
        <c:ser>
          <c:idx val="2"/>
          <c:order val="2"/>
          <c:tx>
            <c:v>RL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Wall_Loss_Bands!$A$20:$A$21</c:f>
              <c:numCache>
                <c:formatCode>m/d/yyyy</c:formatCode>
                <c:ptCount val="2"/>
                <c:pt idx="0">
                  <c:v>47128</c:v>
                </c:pt>
                <c:pt idx="1">
                  <c:v>47128</c:v>
                </c:pt>
              </c:numCache>
            </c:numRef>
          </c:xVal>
          <c:yVal>
            <c:numRef>
              <c:f>Wall_Loss_Bands!$B$20:$B$21</c:f>
              <c:numCache>
                <c:formatCode>General</c:formatCode>
                <c:ptCount val="2"/>
                <c:pt idx="0">
                  <c:v>0</c:v>
                </c:pt>
                <c:pt idx="1">
                  <c:v>10.6</c:v>
                </c:pt>
              </c:numCache>
            </c:numRef>
          </c:yVal>
          <c:smooth val="0"/>
        </c:ser>
        <c:ser>
          <c:idx val="3"/>
          <c:order val="3"/>
          <c:tx>
            <c:v>Nominal Wt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rgbClr val="7030A0"/>
                </a:solidFill>
                <a:round/>
              </a:ln>
              <a:effectLst/>
            </c:spPr>
          </c:dPt>
          <c:xVal>
            <c:numRef>
              <c:f>Wall_Loss_Bands!$A$25:$A$26</c:f>
              <c:numCache>
                <c:formatCode>m/d/yyyy</c:formatCode>
                <c:ptCount val="2"/>
                <c:pt idx="0">
                  <c:v>42640</c:v>
                </c:pt>
                <c:pt idx="1">
                  <c:v>47128</c:v>
                </c:pt>
              </c:numCache>
            </c:numRef>
          </c:xVal>
          <c:yVal>
            <c:numRef>
              <c:f>Wall_Loss_Bands!$B$25:$B$26</c:f>
              <c:numCache>
                <c:formatCode>General</c:formatCode>
                <c:ptCount val="2"/>
                <c:pt idx="0">
                  <c:v>10.6</c:v>
                </c:pt>
                <c:pt idx="1">
                  <c:v>10.6</c:v>
                </c:pt>
              </c:numCache>
            </c:numRef>
          </c:yVal>
          <c:smooth val="0"/>
        </c:ser>
        <c:ser>
          <c:idx val="4"/>
          <c:order val="4"/>
          <c:tx>
            <c:v>Recommended ACR</c:v>
          </c:tx>
          <c:spPr>
            <a:ln w="19050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Wall_Loss_Bands!$A$30:$A$31</c:f>
              <c:numCache>
                <c:formatCode>m/d/yyyy</c:formatCode>
                <c:ptCount val="2"/>
                <c:pt idx="0">
                  <c:v>42844</c:v>
                </c:pt>
                <c:pt idx="1">
                  <c:v>47128</c:v>
                </c:pt>
              </c:numCache>
            </c:numRef>
          </c:xVal>
          <c:yVal>
            <c:numRef>
              <c:f>Wall_Loss_Bands!$B$30:$B$31</c:f>
              <c:numCache>
                <c:formatCode>General</c:formatCode>
                <c:ptCount val="2"/>
                <c:pt idx="0">
                  <c:v>0.56999999999999995</c:v>
                </c:pt>
                <c:pt idx="1">
                  <c:v>10.6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866176"/>
        <c:axId val="442862648"/>
      </c:scatterChart>
      <c:valAx>
        <c:axId val="442866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Time</a:t>
                </a:r>
              </a:p>
            </c:rich>
          </c:tx>
          <c:layout>
            <c:manualLayout>
              <c:xMode val="edge"/>
              <c:yMode val="edge"/>
              <c:x val="0.46705702986086445"/>
              <c:y val="0.85839725196671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862648"/>
        <c:crosses val="autoZero"/>
        <c:crossBetween val="midCat"/>
      </c:valAx>
      <c:valAx>
        <c:axId val="442862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Wall</a:t>
                </a:r>
                <a:r>
                  <a:rPr lang="en-AU" baseline="0"/>
                  <a:t> Loss (mm)</a:t>
                </a:r>
                <a:endParaRPr lang="en-A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866176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411984736562564"/>
          <c:y val="0.89696951858624741"/>
          <c:w val="0.58575011967618362"/>
          <c:h val="3.20059139122545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11</xdr:row>
      <xdr:rowOff>47624</xdr:rowOff>
    </xdr:from>
    <xdr:to>
      <xdr:col>18</xdr:col>
      <xdr:colOff>457199</xdr:colOff>
      <xdr:row>46</xdr:row>
      <xdr:rowOff>76199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390524</xdr:colOff>
          <xdr:row>1</xdr:row>
          <xdr:rowOff>142875</xdr:rowOff>
        </xdr:from>
        <xdr:to>
          <xdr:col>18</xdr:col>
          <xdr:colOff>342899</xdr:colOff>
          <xdr:row>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\Databases\RC-DAT-1601%20IDMAS\Tools\IDMAS_DB_MANIPULATION\IDMAS%20DB%20Manipulation%20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DMASCML_CHK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O11"/>
  <sheetViews>
    <sheetView workbookViewId="0">
      <selection activeCell="H10" sqref="H10"/>
    </sheetView>
  </sheetViews>
  <sheetFormatPr defaultRowHeight="15" x14ac:dyDescent="0.25"/>
  <cols>
    <col min="1" max="1" width="19.140625" style="6" bestFit="1" customWidth="1"/>
    <col min="2" max="2" width="20.5703125" customWidth="1"/>
    <col min="3" max="3" width="8.5703125" bestFit="1" customWidth="1"/>
    <col min="4" max="4" width="9.140625" hidden="1" customWidth="1"/>
    <col min="5" max="7" width="1.85546875" hidden="1" customWidth="1"/>
    <col min="8" max="8" width="20.7109375" style="7" bestFit="1" customWidth="1"/>
    <col min="9" max="10" width="1.85546875" hidden="1" customWidth="1"/>
    <col min="11" max="11" width="24.5703125" style="7" bestFit="1" customWidth="1"/>
    <col min="12" max="12" width="30.28515625" style="7" bestFit="1" customWidth="1"/>
    <col min="13" max="13" width="13.5703125" style="4" bestFit="1" customWidth="1"/>
    <col min="14" max="14" width="17.7109375" style="6" bestFit="1" customWidth="1"/>
    <col min="15" max="20" width="1.85546875" hidden="1" customWidth="1"/>
    <col min="21" max="21" width="23.85546875" style="4" bestFit="1" customWidth="1"/>
    <col min="22" max="22" width="23.85546875" style="6" customWidth="1"/>
    <col min="23" max="25" width="1.85546875" hidden="1" customWidth="1"/>
    <col min="26" max="27" width="2" hidden="1" customWidth="1"/>
    <col min="28" max="28" width="23" style="4" bestFit="1" customWidth="1"/>
    <col min="29" max="29" width="23" style="6" customWidth="1"/>
    <col min="30" max="63" width="1.7109375" hidden="1" customWidth="1"/>
    <col min="64" max="64" width="0" hidden="1" customWidth="1"/>
    <col min="65" max="66" width="15.85546875" bestFit="1" customWidth="1"/>
  </cols>
  <sheetData>
    <row r="1" spans="1:67" x14ac:dyDescent="0.25">
      <c r="A1" s="6" t="s">
        <v>136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8" t="s">
        <v>6</v>
      </c>
      <c r="I1" s="1" t="s">
        <v>7</v>
      </c>
      <c r="J1" s="1" t="s">
        <v>8</v>
      </c>
      <c r="K1" s="8" t="s">
        <v>9</v>
      </c>
      <c r="L1" s="8" t="s">
        <v>10</v>
      </c>
      <c r="M1" s="3" t="s">
        <v>11</v>
      </c>
      <c r="N1" s="5" t="s">
        <v>106</v>
      </c>
      <c r="O1" s="2" t="s">
        <v>12</v>
      </c>
      <c r="P1" s="2" t="s">
        <v>13</v>
      </c>
      <c r="Q1" s="2" t="s">
        <v>14</v>
      </c>
      <c r="R1" s="2" t="s">
        <v>15</v>
      </c>
      <c r="S1" s="1" t="s">
        <v>16</v>
      </c>
      <c r="T1" s="2" t="s">
        <v>17</v>
      </c>
      <c r="U1" s="3" t="s">
        <v>18</v>
      </c>
      <c r="V1" s="5" t="s">
        <v>107</v>
      </c>
      <c r="W1" s="1" t="s">
        <v>19</v>
      </c>
      <c r="X1" s="1" t="s">
        <v>20</v>
      </c>
      <c r="Y1" s="1" t="s">
        <v>21</v>
      </c>
      <c r="Z1" s="2" t="s">
        <v>22</v>
      </c>
      <c r="AA1" s="2" t="s">
        <v>23</v>
      </c>
      <c r="AB1" s="3" t="s">
        <v>24</v>
      </c>
      <c r="AC1" s="5" t="s">
        <v>105</v>
      </c>
      <c r="AD1" s="1" t="s">
        <v>25</v>
      </c>
      <c r="AE1" s="2" t="s">
        <v>26</v>
      </c>
      <c r="AF1" s="2" t="s">
        <v>27</v>
      </c>
      <c r="AG1" s="2" t="s">
        <v>28</v>
      </c>
      <c r="AH1" s="2" t="s">
        <v>29</v>
      </c>
      <c r="AI1" s="2" t="s">
        <v>30</v>
      </c>
      <c r="AJ1" s="2" t="s">
        <v>31</v>
      </c>
      <c r="AK1" s="1" t="s">
        <v>32</v>
      </c>
      <c r="AL1" s="1" t="s">
        <v>33</v>
      </c>
      <c r="AM1" s="1" t="s">
        <v>34</v>
      </c>
      <c r="AN1" s="2" t="s">
        <v>35</v>
      </c>
      <c r="AO1" s="2" t="s">
        <v>36</v>
      </c>
      <c r="AP1" s="2" t="s">
        <v>37</v>
      </c>
      <c r="AQ1" s="2" t="s">
        <v>38</v>
      </c>
      <c r="AR1" s="2" t="s">
        <v>39</v>
      </c>
      <c r="AS1" s="2" t="s">
        <v>40</v>
      </c>
      <c r="AT1" s="2" t="s">
        <v>41</v>
      </c>
      <c r="AU1" s="1" t="s">
        <v>42</v>
      </c>
      <c r="AV1" s="1" t="s">
        <v>43</v>
      </c>
      <c r="AW1" s="1" t="s">
        <v>44</v>
      </c>
      <c r="AX1" s="1" t="s">
        <v>45</v>
      </c>
      <c r="AY1" s="1" t="s">
        <v>46</v>
      </c>
      <c r="AZ1" s="2" t="s">
        <v>47</v>
      </c>
      <c r="BA1" s="2" t="s">
        <v>48</v>
      </c>
      <c r="BB1" s="2" t="s">
        <v>49</v>
      </c>
      <c r="BC1" s="2" t="s">
        <v>50</v>
      </c>
      <c r="BD1" s="2" t="s">
        <v>51</v>
      </c>
      <c r="BE1" s="1" t="s">
        <v>52</v>
      </c>
      <c r="BF1" s="2" t="s">
        <v>53</v>
      </c>
      <c r="BG1" s="2" t="s">
        <v>54</v>
      </c>
      <c r="BH1" s="2" t="s">
        <v>55</v>
      </c>
      <c r="BI1" s="1" t="s">
        <v>56</v>
      </c>
      <c r="BJ1" s="1" t="s">
        <v>57</v>
      </c>
      <c r="BK1" s="1" t="s">
        <v>58</v>
      </c>
    </row>
    <row r="2" spans="1:67" x14ac:dyDescent="0.25">
      <c r="A2" s="6" t="str">
        <f>B2&amp;C2</f>
        <v>HC-42021-80-D10PL1</v>
      </c>
      <c r="B2" s="1" t="s">
        <v>59</v>
      </c>
      <c r="C2" s="1">
        <v>1</v>
      </c>
      <c r="D2" s="1"/>
      <c r="E2" s="1" t="s">
        <v>60</v>
      </c>
      <c r="F2" s="1"/>
      <c r="G2" s="1"/>
      <c r="H2" s="8" t="s">
        <v>61</v>
      </c>
      <c r="I2" s="1">
        <v>80</v>
      </c>
      <c r="J2" s="1">
        <v>88.9</v>
      </c>
      <c r="K2" s="8">
        <v>3.3</v>
      </c>
      <c r="L2" s="8">
        <v>0</v>
      </c>
      <c r="M2" s="3">
        <v>3.3</v>
      </c>
      <c r="N2" s="5" t="e">
        <f>wall_loss_estimated(H2,M2,L2:L6)</f>
        <v>#VALUE!</v>
      </c>
      <c r="O2" s="2">
        <v>100</v>
      </c>
      <c r="P2" s="2"/>
      <c r="Q2" s="2">
        <v>2</v>
      </c>
      <c r="R2" s="2">
        <v>0</v>
      </c>
      <c r="S2" s="1"/>
      <c r="T2" s="2">
        <v>0.01</v>
      </c>
      <c r="U2" s="3">
        <v>0.01</v>
      </c>
      <c r="V2" s="5"/>
      <c r="W2" s="1" t="s">
        <v>62</v>
      </c>
      <c r="X2" s="1"/>
      <c r="Y2" s="1"/>
      <c r="Z2" s="2">
        <v>0</v>
      </c>
      <c r="AA2" s="2">
        <v>-200</v>
      </c>
      <c r="AB2" s="3"/>
      <c r="AC2" s="5"/>
      <c r="AD2" s="1">
        <v>25</v>
      </c>
      <c r="AE2" s="2">
        <v>0</v>
      </c>
      <c r="AF2" s="2">
        <v>0</v>
      </c>
      <c r="AG2" s="2">
        <v>1</v>
      </c>
      <c r="AH2" s="2">
        <v>1</v>
      </c>
      <c r="AI2" s="2"/>
      <c r="AJ2" s="2"/>
      <c r="AK2" s="1">
        <v>0</v>
      </c>
      <c r="AL2" s="1">
        <v>0</v>
      </c>
      <c r="AM2" s="1">
        <v>0</v>
      </c>
      <c r="AN2" s="2">
        <v>0</v>
      </c>
      <c r="AO2" s="2" t="s">
        <v>63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1" t="s">
        <v>64</v>
      </c>
      <c r="AV2" s="1" t="s">
        <v>60</v>
      </c>
      <c r="AW2" s="1"/>
      <c r="AX2" s="1" t="s">
        <v>65</v>
      </c>
      <c r="AY2" s="1"/>
      <c r="AZ2" s="2">
        <v>0.84</v>
      </c>
      <c r="BA2" s="2">
        <v>0.79</v>
      </c>
      <c r="BB2" s="2">
        <v>2</v>
      </c>
      <c r="BC2" s="2" t="s">
        <v>66</v>
      </c>
      <c r="BD2" s="2"/>
      <c r="BE2" s="1"/>
      <c r="BF2" s="2">
        <v>0</v>
      </c>
      <c r="BG2" s="2" t="s">
        <v>67</v>
      </c>
      <c r="BH2" s="2"/>
      <c r="BI2" s="1"/>
      <c r="BJ2" s="1"/>
      <c r="BK2" s="1"/>
      <c r="BN2" s="6"/>
      <c r="BO2" t="s">
        <v>108</v>
      </c>
    </row>
    <row r="3" spans="1:67" x14ac:dyDescent="0.25">
      <c r="A3" s="6" t="str">
        <f t="shared" ref="A3:A11" si="0">B3&amp;C3</f>
        <v>HC-42021-80-D10PL2</v>
      </c>
      <c r="B3" s="1" t="s">
        <v>59</v>
      </c>
      <c r="C3" s="1">
        <v>2</v>
      </c>
      <c r="D3" s="1"/>
      <c r="E3" s="1" t="s">
        <v>60</v>
      </c>
      <c r="F3" s="1" t="s">
        <v>68</v>
      </c>
      <c r="G3" s="1" t="s">
        <v>69</v>
      </c>
      <c r="H3" s="8" t="s">
        <v>70</v>
      </c>
      <c r="I3" s="1">
        <v>0</v>
      </c>
      <c r="J3" s="1">
        <v>0</v>
      </c>
      <c r="K3" s="8">
        <v>0</v>
      </c>
      <c r="L3" s="8">
        <v>0</v>
      </c>
      <c r="M3" s="3">
        <v>0</v>
      </c>
      <c r="N3" s="5"/>
      <c r="O3" s="2">
        <v>0</v>
      </c>
      <c r="P3" s="2"/>
      <c r="Q3" s="2">
        <v>0</v>
      </c>
      <c r="R3" s="2">
        <v>0</v>
      </c>
      <c r="S3" s="1"/>
      <c r="T3" s="2">
        <v>0.01</v>
      </c>
      <c r="U3" s="3">
        <v>0</v>
      </c>
      <c r="V3" s="5"/>
      <c r="W3" s="1"/>
      <c r="X3" s="1"/>
      <c r="Y3" s="1"/>
      <c r="Z3" s="2">
        <v>0</v>
      </c>
      <c r="AA3" s="2">
        <v>0</v>
      </c>
      <c r="AB3" s="3"/>
      <c r="AC3" s="5"/>
      <c r="AD3" s="1">
        <v>0</v>
      </c>
      <c r="AE3" s="2">
        <v>0</v>
      </c>
      <c r="AF3" s="2">
        <v>0</v>
      </c>
      <c r="AG3" s="2">
        <v>1</v>
      </c>
      <c r="AH3" s="2">
        <v>1</v>
      </c>
      <c r="AI3" s="2"/>
      <c r="AJ3" s="2"/>
      <c r="AK3" s="1">
        <v>0</v>
      </c>
      <c r="AL3" s="1">
        <v>0</v>
      </c>
      <c r="AM3" s="1">
        <v>0</v>
      </c>
      <c r="AN3" s="2">
        <v>0</v>
      </c>
      <c r="AO3" s="2" t="s">
        <v>63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1"/>
      <c r="AV3" s="1" t="s">
        <v>60</v>
      </c>
      <c r="AW3" s="1"/>
      <c r="AX3" s="1" t="s">
        <v>65</v>
      </c>
      <c r="AY3" s="1"/>
      <c r="AZ3" s="2">
        <v>0</v>
      </c>
      <c r="BA3" s="2">
        <v>0</v>
      </c>
      <c r="BB3" s="2">
        <v>0</v>
      </c>
      <c r="BC3" s="2" t="s">
        <v>71</v>
      </c>
      <c r="BD3" s="2"/>
      <c r="BE3" s="1"/>
      <c r="BF3" s="2">
        <v>0</v>
      </c>
      <c r="BG3" s="2" t="s">
        <v>67</v>
      </c>
      <c r="BH3" s="2"/>
      <c r="BI3" s="1"/>
      <c r="BJ3" s="1"/>
      <c r="BK3" s="1"/>
      <c r="BN3" s="4"/>
      <c r="BO3" t="s">
        <v>109</v>
      </c>
    </row>
    <row r="4" spans="1:67" x14ac:dyDescent="0.25">
      <c r="A4" s="6" t="str">
        <f t="shared" si="0"/>
        <v>HC-42021-80-D10PL3</v>
      </c>
      <c r="B4" s="1" t="s">
        <v>59</v>
      </c>
      <c r="C4" s="1">
        <v>3</v>
      </c>
      <c r="D4" s="1"/>
      <c r="E4" s="1" t="s">
        <v>60</v>
      </c>
      <c r="F4" s="1" t="s">
        <v>72</v>
      </c>
      <c r="G4" s="1" t="s">
        <v>69</v>
      </c>
      <c r="H4" s="8" t="s">
        <v>70</v>
      </c>
      <c r="I4" s="1">
        <v>0</v>
      </c>
      <c r="J4" s="1">
        <v>0</v>
      </c>
      <c r="K4" s="8">
        <v>0</v>
      </c>
      <c r="L4" s="8">
        <v>0</v>
      </c>
      <c r="M4" s="3">
        <v>0</v>
      </c>
      <c r="N4" s="5"/>
      <c r="O4" s="2">
        <v>0</v>
      </c>
      <c r="P4" s="2"/>
      <c r="Q4" s="2">
        <v>0</v>
      </c>
      <c r="R4" s="2">
        <v>0</v>
      </c>
      <c r="S4" s="1"/>
      <c r="T4" s="2">
        <v>0.01</v>
      </c>
      <c r="U4" s="3">
        <v>0</v>
      </c>
      <c r="V4" s="5"/>
      <c r="W4" s="1"/>
      <c r="X4" s="1"/>
      <c r="Y4" s="1"/>
      <c r="Z4" s="2">
        <v>0</v>
      </c>
      <c r="AA4" s="2">
        <v>0</v>
      </c>
      <c r="AB4" s="3"/>
      <c r="AC4" s="5"/>
      <c r="AD4" s="1">
        <v>0</v>
      </c>
      <c r="AE4" s="2">
        <v>0</v>
      </c>
      <c r="AF4" s="2">
        <v>0</v>
      </c>
      <c r="AG4" s="2">
        <v>1</v>
      </c>
      <c r="AH4" s="2">
        <v>1</v>
      </c>
      <c r="AI4" s="2"/>
      <c r="AJ4" s="2"/>
      <c r="AK4" s="1">
        <v>0</v>
      </c>
      <c r="AL4" s="1">
        <v>0</v>
      </c>
      <c r="AM4" s="1">
        <v>0</v>
      </c>
      <c r="AN4" s="2">
        <v>0</v>
      </c>
      <c r="AO4" s="2" t="s">
        <v>63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1"/>
      <c r="AV4" s="1" t="s">
        <v>60</v>
      </c>
      <c r="AW4" s="1"/>
      <c r="AX4" s="1" t="s">
        <v>65</v>
      </c>
      <c r="AY4" s="1"/>
      <c r="AZ4" s="2">
        <v>0</v>
      </c>
      <c r="BA4" s="2">
        <v>0</v>
      </c>
      <c r="BB4" s="2">
        <v>0</v>
      </c>
      <c r="BC4" s="2" t="s">
        <v>71</v>
      </c>
      <c r="BD4" s="2"/>
      <c r="BE4" s="1"/>
      <c r="BF4" s="2">
        <v>0</v>
      </c>
      <c r="BG4" s="2" t="s">
        <v>67</v>
      </c>
      <c r="BH4" s="2"/>
      <c r="BI4" s="1"/>
      <c r="BJ4" s="1"/>
      <c r="BK4" s="1"/>
    </row>
    <row r="5" spans="1:67" x14ac:dyDescent="0.25">
      <c r="A5" s="6" t="str">
        <f t="shared" si="0"/>
        <v>HC-42021-80-D10PL4</v>
      </c>
      <c r="B5" s="1" t="s">
        <v>59</v>
      </c>
      <c r="C5" s="1">
        <v>4</v>
      </c>
      <c r="D5" s="1"/>
      <c r="E5" s="1" t="s">
        <v>60</v>
      </c>
      <c r="F5" s="1" t="s">
        <v>73</v>
      </c>
      <c r="G5" s="1" t="s">
        <v>69</v>
      </c>
      <c r="H5" s="8" t="s">
        <v>70</v>
      </c>
      <c r="I5" s="1">
        <v>0</v>
      </c>
      <c r="J5" s="1">
        <v>0</v>
      </c>
      <c r="K5" s="8">
        <v>0</v>
      </c>
      <c r="L5" s="8">
        <v>0</v>
      </c>
      <c r="M5" s="3">
        <v>0</v>
      </c>
      <c r="N5" s="5"/>
      <c r="O5" s="2">
        <v>0</v>
      </c>
      <c r="P5" s="2"/>
      <c r="Q5" s="2">
        <v>0</v>
      </c>
      <c r="R5" s="2">
        <v>0</v>
      </c>
      <c r="S5" s="1"/>
      <c r="T5" s="2">
        <v>0.01</v>
      </c>
      <c r="U5" s="3">
        <v>0</v>
      </c>
      <c r="V5" s="5"/>
      <c r="W5" s="1"/>
      <c r="X5" s="1"/>
      <c r="Y5" s="1"/>
      <c r="Z5" s="2">
        <v>0</v>
      </c>
      <c r="AA5" s="2">
        <v>0</v>
      </c>
      <c r="AB5" s="3"/>
      <c r="AC5" s="5"/>
      <c r="AD5" s="1">
        <v>0</v>
      </c>
      <c r="AE5" s="2">
        <v>0</v>
      </c>
      <c r="AF5" s="2">
        <v>0</v>
      </c>
      <c r="AG5" s="2">
        <v>1</v>
      </c>
      <c r="AH5" s="2">
        <v>1</v>
      </c>
      <c r="AI5" s="2"/>
      <c r="AJ5" s="2"/>
      <c r="AK5" s="1">
        <v>0</v>
      </c>
      <c r="AL5" s="1">
        <v>0</v>
      </c>
      <c r="AM5" s="1">
        <v>0</v>
      </c>
      <c r="AN5" s="2">
        <v>0</v>
      </c>
      <c r="AO5" s="2" t="s">
        <v>63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1"/>
      <c r="AV5" s="1" t="s">
        <v>60</v>
      </c>
      <c r="AW5" s="1"/>
      <c r="AX5" s="1" t="s">
        <v>65</v>
      </c>
      <c r="AY5" s="1"/>
      <c r="AZ5" s="2">
        <v>0</v>
      </c>
      <c r="BA5" s="2">
        <v>0</v>
      </c>
      <c r="BB5" s="2">
        <v>0</v>
      </c>
      <c r="BC5" s="2" t="s">
        <v>71</v>
      </c>
      <c r="BD5" s="2"/>
      <c r="BE5" s="1"/>
      <c r="BF5" s="2">
        <v>0</v>
      </c>
      <c r="BG5" s="2" t="s">
        <v>67</v>
      </c>
      <c r="BH5" s="2"/>
      <c r="BI5" s="1"/>
      <c r="BJ5" s="1"/>
      <c r="BK5" s="1"/>
    </row>
    <row r="6" spans="1:67" x14ac:dyDescent="0.25">
      <c r="A6" s="6" t="str">
        <f t="shared" si="0"/>
        <v>HC-42021-80-D10PL5</v>
      </c>
      <c r="B6" s="1" t="s">
        <v>59</v>
      </c>
      <c r="C6" s="1">
        <v>5</v>
      </c>
      <c r="D6" s="1"/>
      <c r="E6" s="1" t="s">
        <v>60</v>
      </c>
      <c r="F6" s="1" t="s">
        <v>74</v>
      </c>
      <c r="G6" s="1" t="s">
        <v>69</v>
      </c>
      <c r="H6" s="8" t="s">
        <v>70</v>
      </c>
      <c r="I6" s="1">
        <v>0</v>
      </c>
      <c r="J6" s="1">
        <v>0</v>
      </c>
      <c r="K6" s="8">
        <v>0</v>
      </c>
      <c r="L6" s="8">
        <v>0</v>
      </c>
      <c r="M6" s="3">
        <v>0</v>
      </c>
      <c r="N6" s="5"/>
      <c r="O6" s="2">
        <v>0</v>
      </c>
      <c r="P6" s="2"/>
      <c r="Q6" s="2">
        <v>0</v>
      </c>
      <c r="R6" s="2">
        <v>0</v>
      </c>
      <c r="S6" s="1"/>
      <c r="T6" s="2">
        <v>0.01</v>
      </c>
      <c r="U6" s="3">
        <v>0</v>
      </c>
      <c r="V6" s="5"/>
      <c r="W6" s="1"/>
      <c r="X6" s="1"/>
      <c r="Y6" s="1"/>
      <c r="Z6" s="2">
        <v>0</v>
      </c>
      <c r="AA6" s="2">
        <v>0</v>
      </c>
      <c r="AB6" s="3"/>
      <c r="AC6" s="5"/>
      <c r="AD6" s="1">
        <v>0</v>
      </c>
      <c r="AE6" s="2">
        <v>0</v>
      </c>
      <c r="AF6" s="2">
        <v>0</v>
      </c>
      <c r="AG6" s="2">
        <v>1</v>
      </c>
      <c r="AH6" s="2">
        <v>1</v>
      </c>
      <c r="AI6" s="2"/>
      <c r="AJ6" s="2"/>
      <c r="AK6" s="1">
        <v>0</v>
      </c>
      <c r="AL6" s="1">
        <v>0</v>
      </c>
      <c r="AM6" s="1">
        <v>0</v>
      </c>
      <c r="AN6" s="2">
        <v>0</v>
      </c>
      <c r="AO6" s="2" t="s">
        <v>63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1"/>
      <c r="AV6" s="1" t="s">
        <v>60</v>
      </c>
      <c r="AW6" s="1"/>
      <c r="AX6" s="1" t="s">
        <v>65</v>
      </c>
      <c r="AY6" s="1"/>
      <c r="AZ6" s="2">
        <v>0</v>
      </c>
      <c r="BA6" s="2">
        <v>0</v>
      </c>
      <c r="BB6" s="2">
        <v>0</v>
      </c>
      <c r="BC6" s="2" t="s">
        <v>71</v>
      </c>
      <c r="BD6" s="2"/>
      <c r="BE6" s="1"/>
      <c r="BF6" s="2">
        <v>0</v>
      </c>
      <c r="BG6" s="2" t="s">
        <v>67</v>
      </c>
      <c r="BH6" s="2"/>
      <c r="BI6" s="1"/>
      <c r="BJ6" s="1"/>
      <c r="BK6" s="1"/>
    </row>
    <row r="7" spans="1:67" x14ac:dyDescent="0.25">
      <c r="A7" s="6" t="str">
        <f t="shared" si="0"/>
        <v>CPF-58 - HVB-1411</v>
      </c>
      <c r="B7" s="1" t="s">
        <v>75</v>
      </c>
      <c r="C7" s="1">
        <v>1</v>
      </c>
      <c r="D7" s="1"/>
      <c r="E7" s="1" t="s">
        <v>66</v>
      </c>
      <c r="F7" s="1"/>
      <c r="G7" s="1" t="s">
        <v>76</v>
      </c>
      <c r="H7" s="8" t="s">
        <v>77</v>
      </c>
      <c r="I7" s="1">
        <v>25</v>
      </c>
      <c r="J7" s="1">
        <v>33.4</v>
      </c>
      <c r="K7" s="8">
        <v>4.55</v>
      </c>
      <c r="L7" s="8">
        <v>0</v>
      </c>
      <c r="M7" s="3">
        <v>4.55</v>
      </c>
      <c r="N7" s="5"/>
      <c r="O7" s="2">
        <v>100</v>
      </c>
      <c r="P7" s="2" t="s">
        <v>78</v>
      </c>
      <c r="Q7" s="2">
        <v>1.8</v>
      </c>
      <c r="R7" s="2">
        <v>0</v>
      </c>
      <c r="S7" s="1"/>
      <c r="T7" s="2">
        <v>0.27</v>
      </c>
      <c r="U7" s="3">
        <v>0.27</v>
      </c>
      <c r="V7" s="5"/>
      <c r="W7" s="1" t="s">
        <v>79</v>
      </c>
      <c r="X7" s="1" t="s">
        <v>80</v>
      </c>
      <c r="Y7" s="1" t="s">
        <v>81</v>
      </c>
      <c r="Z7" s="2">
        <v>0</v>
      </c>
      <c r="AA7" s="2">
        <v>-6.67</v>
      </c>
      <c r="AB7" s="3"/>
      <c r="AC7" s="5"/>
      <c r="AD7" s="1">
        <v>25</v>
      </c>
      <c r="AE7" s="2">
        <v>0</v>
      </c>
      <c r="AF7" s="2">
        <v>0</v>
      </c>
      <c r="AG7" s="2">
        <v>1</v>
      </c>
      <c r="AH7" s="2">
        <v>1</v>
      </c>
      <c r="AI7" s="2" t="s">
        <v>82</v>
      </c>
      <c r="AJ7" s="2" t="s">
        <v>82</v>
      </c>
      <c r="AK7" s="1">
        <v>0</v>
      </c>
      <c r="AL7" s="1">
        <v>0</v>
      </c>
      <c r="AM7" s="1">
        <v>0</v>
      </c>
      <c r="AN7" s="2">
        <v>0</v>
      </c>
      <c r="AO7" s="2" t="s">
        <v>63</v>
      </c>
      <c r="AP7" s="2">
        <v>0.2</v>
      </c>
      <c r="AQ7" s="2">
        <v>0.2</v>
      </c>
      <c r="AR7" s="2">
        <v>0</v>
      </c>
      <c r="AS7" s="2">
        <v>0</v>
      </c>
      <c r="AT7" s="2">
        <v>1</v>
      </c>
      <c r="AU7" s="1"/>
      <c r="AV7" s="1" t="s">
        <v>60</v>
      </c>
      <c r="AW7" s="1"/>
      <c r="AX7" s="1" t="s">
        <v>65</v>
      </c>
      <c r="AY7" s="1"/>
      <c r="AZ7" s="2">
        <v>0.31</v>
      </c>
      <c r="BA7" s="2">
        <v>0.06</v>
      </c>
      <c r="BB7" s="2">
        <v>1.8</v>
      </c>
      <c r="BC7" s="2" t="s">
        <v>66</v>
      </c>
      <c r="BD7" s="2"/>
      <c r="BE7" s="1"/>
      <c r="BF7" s="2">
        <v>0</v>
      </c>
      <c r="BG7" s="2" t="s">
        <v>83</v>
      </c>
      <c r="BH7" s="2"/>
      <c r="BI7" s="1"/>
      <c r="BJ7" s="1"/>
      <c r="BK7" s="1"/>
    </row>
    <row r="8" spans="1:67" x14ac:dyDescent="0.25">
      <c r="A8" s="6" t="str">
        <f t="shared" si="0"/>
        <v>FA-B2500-004-100-D715</v>
      </c>
      <c r="B8" s="1" t="s">
        <v>84</v>
      </c>
      <c r="C8" s="1">
        <v>15</v>
      </c>
      <c r="D8" s="1" t="s">
        <v>85</v>
      </c>
      <c r="E8" s="1" t="s">
        <v>60</v>
      </c>
      <c r="F8" s="1" t="s">
        <v>86</v>
      </c>
      <c r="G8" s="1" t="s">
        <v>69</v>
      </c>
      <c r="H8" s="8" t="s">
        <v>70</v>
      </c>
      <c r="I8" s="1">
        <v>0</v>
      </c>
      <c r="J8" s="1">
        <v>0</v>
      </c>
      <c r="K8" s="8">
        <v>0</v>
      </c>
      <c r="L8" s="8">
        <v>0</v>
      </c>
      <c r="M8" s="3">
        <v>0</v>
      </c>
      <c r="N8" s="5"/>
      <c r="O8" s="2">
        <v>0</v>
      </c>
      <c r="P8" s="2"/>
      <c r="Q8" s="2">
        <v>0</v>
      </c>
      <c r="R8" s="2">
        <v>0</v>
      </c>
      <c r="S8" s="1"/>
      <c r="T8" s="2">
        <v>0.01</v>
      </c>
      <c r="U8" s="3">
        <v>0</v>
      </c>
      <c r="V8" s="5"/>
      <c r="W8" s="1"/>
      <c r="X8" s="1"/>
      <c r="Y8" s="1"/>
      <c r="Z8" s="2">
        <v>0</v>
      </c>
      <c r="AA8" s="2">
        <v>0</v>
      </c>
      <c r="AB8" s="3"/>
      <c r="AC8" s="5"/>
      <c r="AD8" s="1">
        <v>25</v>
      </c>
      <c r="AE8" s="2">
        <v>0</v>
      </c>
      <c r="AF8" s="2">
        <v>0</v>
      </c>
      <c r="AG8" s="2">
        <v>1</v>
      </c>
      <c r="AH8" s="2">
        <v>1</v>
      </c>
      <c r="AI8" s="2" t="s">
        <v>82</v>
      </c>
      <c r="AJ8" s="2" t="s">
        <v>82</v>
      </c>
      <c r="AK8" s="1">
        <v>0.1</v>
      </c>
      <c r="AL8" s="1">
        <v>0.1</v>
      </c>
      <c r="AM8" s="1">
        <v>0.1</v>
      </c>
      <c r="AN8" s="2">
        <v>0.3</v>
      </c>
      <c r="AO8" s="2" t="s">
        <v>87</v>
      </c>
      <c r="AP8" s="2">
        <v>0.4</v>
      </c>
      <c r="AQ8" s="2">
        <v>0.4</v>
      </c>
      <c r="AR8" s="2">
        <v>0</v>
      </c>
      <c r="AS8" s="2">
        <v>0</v>
      </c>
      <c r="AT8" s="2">
        <v>0</v>
      </c>
      <c r="AU8" s="1"/>
      <c r="AV8" s="1" t="s">
        <v>60</v>
      </c>
      <c r="AW8" s="1"/>
      <c r="AX8" s="1" t="s">
        <v>65</v>
      </c>
      <c r="AY8" s="1"/>
      <c r="AZ8" s="2">
        <v>0</v>
      </c>
      <c r="BA8" s="2">
        <v>0</v>
      </c>
      <c r="BB8" s="2">
        <v>0</v>
      </c>
      <c r="BC8" s="2" t="s">
        <v>71</v>
      </c>
      <c r="BD8" s="2"/>
      <c r="BE8" s="1"/>
      <c r="BF8" s="2">
        <v>0</v>
      </c>
      <c r="BG8" s="2" t="s">
        <v>88</v>
      </c>
      <c r="BH8" s="2"/>
      <c r="BI8" s="1"/>
      <c r="BJ8" s="1"/>
      <c r="BK8" s="1"/>
    </row>
    <row r="9" spans="1:67" x14ac:dyDescent="0.25">
      <c r="A9" s="6" t="str">
        <f t="shared" si="0"/>
        <v>FA-B2500-004-100-D716</v>
      </c>
      <c r="B9" s="1" t="s">
        <v>84</v>
      </c>
      <c r="C9" s="1">
        <v>16</v>
      </c>
      <c r="D9" s="1" t="s">
        <v>89</v>
      </c>
      <c r="E9" s="1" t="s">
        <v>60</v>
      </c>
      <c r="F9" s="1" t="s">
        <v>86</v>
      </c>
      <c r="G9" s="1" t="s">
        <v>69</v>
      </c>
      <c r="H9" s="8" t="s">
        <v>70</v>
      </c>
      <c r="I9" s="1">
        <v>0</v>
      </c>
      <c r="J9" s="1">
        <v>0</v>
      </c>
      <c r="K9" s="8">
        <v>0</v>
      </c>
      <c r="L9" s="8">
        <v>0</v>
      </c>
      <c r="M9" s="3">
        <v>0</v>
      </c>
      <c r="N9" s="5"/>
      <c r="O9" s="2">
        <v>0</v>
      </c>
      <c r="P9" s="2"/>
      <c r="Q9" s="2">
        <v>0</v>
      </c>
      <c r="R9" s="2">
        <v>0</v>
      </c>
      <c r="S9" s="1"/>
      <c r="T9" s="2">
        <v>0.01</v>
      </c>
      <c r="U9" s="3">
        <v>0</v>
      </c>
      <c r="V9" s="5"/>
      <c r="W9" s="1"/>
      <c r="X9" s="1"/>
      <c r="Y9" s="1"/>
      <c r="Z9" s="2">
        <v>0</v>
      </c>
      <c r="AA9" s="2">
        <v>0</v>
      </c>
      <c r="AB9" s="3"/>
      <c r="AC9" s="5"/>
      <c r="AD9" s="1">
        <v>25</v>
      </c>
      <c r="AE9" s="2">
        <v>0</v>
      </c>
      <c r="AF9" s="2">
        <v>0</v>
      </c>
      <c r="AG9" s="2">
        <v>1</v>
      </c>
      <c r="AH9" s="2">
        <v>1</v>
      </c>
      <c r="AI9" s="2" t="s">
        <v>82</v>
      </c>
      <c r="AJ9" s="2" t="s">
        <v>82</v>
      </c>
      <c r="AK9" s="1">
        <v>0.1</v>
      </c>
      <c r="AL9" s="1">
        <v>0.1</v>
      </c>
      <c r="AM9" s="1">
        <v>0.1</v>
      </c>
      <c r="AN9" s="2">
        <v>0.3</v>
      </c>
      <c r="AO9" s="2" t="s">
        <v>87</v>
      </c>
      <c r="AP9" s="2">
        <v>0.4</v>
      </c>
      <c r="AQ9" s="2">
        <v>0.4</v>
      </c>
      <c r="AR9" s="2">
        <v>0</v>
      </c>
      <c r="AS9" s="2">
        <v>0</v>
      </c>
      <c r="AT9" s="2">
        <v>0</v>
      </c>
      <c r="AU9" s="1"/>
      <c r="AV9" s="1" t="s">
        <v>60</v>
      </c>
      <c r="AW9" s="1"/>
      <c r="AX9" s="1" t="s">
        <v>65</v>
      </c>
      <c r="AY9" s="1"/>
      <c r="AZ9" s="2">
        <v>0</v>
      </c>
      <c r="BA9" s="2">
        <v>0</v>
      </c>
      <c r="BB9" s="2">
        <v>0</v>
      </c>
      <c r="BC9" s="2" t="s">
        <v>71</v>
      </c>
      <c r="BD9" s="2"/>
      <c r="BE9" s="1"/>
      <c r="BF9" s="2">
        <v>0</v>
      </c>
      <c r="BG9" s="2" t="s">
        <v>88</v>
      </c>
      <c r="BH9" s="2"/>
      <c r="BI9" s="1"/>
      <c r="BJ9" s="1"/>
      <c r="BK9" s="1"/>
    </row>
    <row r="10" spans="1:67" x14ac:dyDescent="0.25">
      <c r="A10" s="6" t="str">
        <f t="shared" si="0"/>
        <v>K35 Wellhead12</v>
      </c>
      <c r="B10" s="1" t="s">
        <v>90</v>
      </c>
      <c r="C10" s="1">
        <v>12</v>
      </c>
      <c r="D10" s="1"/>
      <c r="E10" s="1" t="s">
        <v>60</v>
      </c>
      <c r="F10" s="1" t="s">
        <v>91</v>
      </c>
      <c r="G10" s="1" t="s">
        <v>92</v>
      </c>
      <c r="H10" s="8" t="s">
        <v>93</v>
      </c>
      <c r="I10" s="1">
        <v>50</v>
      </c>
      <c r="J10" s="1">
        <v>60.3</v>
      </c>
      <c r="K10" s="8">
        <v>10.6</v>
      </c>
      <c r="L10" s="8">
        <v>10.1</v>
      </c>
      <c r="M10" s="3">
        <v>0.5</v>
      </c>
      <c r="N10" s="5">
        <f ca="1">0.12*(DATEDIF(TEXT(H10,"DD/MM/YYYY"),TODAY(),"d")/365)+M10</f>
        <v>0.56706849315068497</v>
      </c>
      <c r="O10" s="2">
        <v>4.71</v>
      </c>
      <c r="P10" s="2" t="s">
        <v>94</v>
      </c>
      <c r="Q10" s="2">
        <v>2.14</v>
      </c>
      <c r="R10" s="2">
        <v>0.01</v>
      </c>
      <c r="S10" s="1"/>
      <c r="T10" s="2">
        <v>5</v>
      </c>
      <c r="U10" s="3">
        <v>0.5</v>
      </c>
      <c r="V10" s="5"/>
      <c r="W10" s="1" t="s">
        <v>95</v>
      </c>
      <c r="X10" s="1" t="s">
        <v>96</v>
      </c>
      <c r="Y10" s="1" t="s">
        <v>97</v>
      </c>
      <c r="Z10" s="2">
        <v>425.96</v>
      </c>
      <c r="AA10" s="2">
        <v>1.59</v>
      </c>
      <c r="AB10" s="3">
        <v>15.4</v>
      </c>
      <c r="AC10" s="5"/>
      <c r="AD10" s="1">
        <v>0</v>
      </c>
      <c r="AE10" s="2">
        <v>0</v>
      </c>
      <c r="AF10" s="2">
        <v>0</v>
      </c>
      <c r="AG10" s="2">
        <v>1</v>
      </c>
      <c r="AH10" s="2">
        <v>1</v>
      </c>
      <c r="AI10" s="2" t="s">
        <v>82</v>
      </c>
      <c r="AJ10" s="2" t="s">
        <v>82</v>
      </c>
      <c r="AK10" s="1">
        <v>0</v>
      </c>
      <c r="AL10" s="1">
        <v>0</v>
      </c>
      <c r="AM10" s="1">
        <v>0</v>
      </c>
      <c r="AN10" s="2">
        <v>0</v>
      </c>
      <c r="AO10" s="2" t="s">
        <v>63</v>
      </c>
      <c r="AP10" s="2">
        <v>0.2</v>
      </c>
      <c r="AQ10" s="2">
        <v>0.2</v>
      </c>
      <c r="AR10" s="2">
        <v>85.19</v>
      </c>
      <c r="AS10" s="2">
        <v>3.08</v>
      </c>
      <c r="AT10" s="2">
        <v>0</v>
      </c>
      <c r="AU10" s="1"/>
      <c r="AV10" s="1" t="s">
        <v>60</v>
      </c>
      <c r="AW10" s="1"/>
      <c r="AX10" s="1" t="s">
        <v>65</v>
      </c>
      <c r="AY10" s="1"/>
      <c r="AZ10" s="2">
        <v>5.58</v>
      </c>
      <c r="BA10" s="2">
        <v>2.14</v>
      </c>
      <c r="BB10" s="2">
        <v>1.8</v>
      </c>
      <c r="BC10" s="2" t="s">
        <v>71</v>
      </c>
      <c r="BD10" s="2" t="s">
        <v>98</v>
      </c>
      <c r="BE10" s="1"/>
      <c r="BF10" s="2">
        <v>1.8687282E-2</v>
      </c>
      <c r="BG10" s="2" t="s">
        <v>99</v>
      </c>
      <c r="BH10" s="2">
        <v>7.9600000380999996</v>
      </c>
      <c r="BI10" s="1"/>
      <c r="BJ10" s="1"/>
      <c r="BK10" s="1"/>
      <c r="BN10" s="12"/>
    </row>
    <row r="11" spans="1:67" x14ac:dyDescent="0.25">
      <c r="A11" s="6" t="str">
        <f t="shared" si="0"/>
        <v>HC-42369-50-D91</v>
      </c>
      <c r="B11" s="1" t="s">
        <v>100</v>
      </c>
      <c r="C11" s="1">
        <v>1</v>
      </c>
      <c r="D11" s="1"/>
      <c r="E11" s="1" t="s">
        <v>60</v>
      </c>
      <c r="F11" s="1" t="s">
        <v>101</v>
      </c>
      <c r="G11" s="1" t="s">
        <v>92</v>
      </c>
      <c r="H11" s="8" t="s">
        <v>102</v>
      </c>
      <c r="I11" s="1">
        <v>50</v>
      </c>
      <c r="J11" s="1">
        <v>60.3</v>
      </c>
      <c r="K11" s="8">
        <v>8.74</v>
      </c>
      <c r="L11" s="8">
        <v>9.8000000000000007</v>
      </c>
      <c r="M11" s="3">
        <v>-1.06</v>
      </c>
      <c r="N11" s="5"/>
      <c r="O11" s="2">
        <v>-12.12</v>
      </c>
      <c r="P11" s="2"/>
      <c r="Q11" s="2">
        <v>1.8</v>
      </c>
      <c r="R11" s="2">
        <v>0</v>
      </c>
      <c r="S11" s="1"/>
      <c r="T11" s="2">
        <v>1.33</v>
      </c>
      <c r="U11" s="3">
        <v>0.44</v>
      </c>
      <c r="V11" s="5"/>
      <c r="W11" s="1" t="s">
        <v>79</v>
      </c>
      <c r="X11" s="1" t="s">
        <v>80</v>
      </c>
      <c r="Y11" s="1" t="s">
        <v>81</v>
      </c>
      <c r="Z11" s="2">
        <v>-59.16</v>
      </c>
      <c r="AA11" s="2">
        <v>6.02</v>
      </c>
      <c r="AB11" s="3">
        <v>16.760000000000002</v>
      </c>
      <c r="AC11" s="5"/>
      <c r="AD11" s="1">
        <v>25</v>
      </c>
      <c r="AE11" s="2">
        <v>-2.37</v>
      </c>
      <c r="AF11" s="2">
        <v>0.67</v>
      </c>
      <c r="AG11" s="2">
        <v>1</v>
      </c>
      <c r="AH11" s="2">
        <v>2</v>
      </c>
      <c r="AI11" s="2" t="s">
        <v>82</v>
      </c>
      <c r="AJ11" s="2" t="s">
        <v>82</v>
      </c>
      <c r="AK11" s="1">
        <v>0</v>
      </c>
      <c r="AL11" s="1">
        <v>0</v>
      </c>
      <c r="AM11" s="1">
        <v>0</v>
      </c>
      <c r="AN11" s="2">
        <v>0</v>
      </c>
      <c r="AO11" s="2" t="s">
        <v>63</v>
      </c>
      <c r="AP11" s="2">
        <v>0.2</v>
      </c>
      <c r="AQ11" s="2">
        <v>0.2</v>
      </c>
      <c r="AR11" s="2">
        <v>-11.83</v>
      </c>
      <c r="AS11" s="2">
        <v>3.35</v>
      </c>
      <c r="AT11" s="2">
        <v>0</v>
      </c>
      <c r="AU11" s="1"/>
      <c r="AV11" s="1" t="s">
        <v>60</v>
      </c>
      <c r="AW11" s="1"/>
      <c r="AX11" s="1" t="s">
        <v>65</v>
      </c>
      <c r="AY11" s="1"/>
      <c r="AZ11" s="2">
        <v>0.56999999999999995</v>
      </c>
      <c r="BA11" s="2">
        <v>0.02</v>
      </c>
      <c r="BB11" s="2">
        <v>1.8</v>
      </c>
      <c r="BC11" s="2" t="s">
        <v>66</v>
      </c>
      <c r="BD11" s="2" t="s">
        <v>103</v>
      </c>
      <c r="BE11" s="1"/>
      <c r="BF11" s="2">
        <v>-0.13523243600000001</v>
      </c>
      <c r="BG11" s="2" t="s">
        <v>104</v>
      </c>
      <c r="BH11" s="2">
        <v>8</v>
      </c>
      <c r="BI11" s="1"/>
      <c r="BJ11" s="1"/>
      <c r="BK11" s="1"/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74E09589-C3C7-4B36-84AB-868735B69E66}">
            <xm:f>B1 &lt;&gt; 'C:\Documents\Databases\RC-DAT-1601 IDMAS\Tools\IDMAS_DB_MANIPULATION\[IDMAS DB Manipulation Macro.xlsm]IDMASCML_CHK'!#REF!</xm:f>
            <x14:dxf>
              <fill>
                <patternFill>
                  <bgColor rgb="FFFF0000"/>
                </patternFill>
              </fill>
            </x14:dxf>
          </x14:cfRule>
          <xm:sqref>B1:BK11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S50"/>
  <sheetViews>
    <sheetView tabSelected="1" topLeftCell="A13" zoomScaleNormal="100" workbookViewId="0">
      <selection activeCell="T31" sqref="T31"/>
    </sheetView>
  </sheetViews>
  <sheetFormatPr defaultRowHeight="15" x14ac:dyDescent="0.25"/>
  <cols>
    <col min="1" max="1" width="17.5703125" bestFit="1" customWidth="1"/>
    <col min="2" max="2" width="17.28515625" customWidth="1"/>
    <col min="3" max="3" width="12.42578125" bestFit="1" customWidth="1"/>
    <col min="4" max="4" width="13.5703125" customWidth="1"/>
    <col min="9" max="9" width="10.7109375" bestFit="1" customWidth="1"/>
  </cols>
  <sheetData>
    <row r="1" spans="1:19" ht="15.75" thickBot="1" x14ac:dyDescent="0.3">
      <c r="A1" s="34" t="s">
        <v>128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6"/>
    </row>
    <row r="2" spans="1:19" x14ac:dyDescent="0.25">
      <c r="A2" s="24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1"/>
    </row>
    <row r="3" spans="1:19" x14ac:dyDescent="0.25">
      <c r="A3" s="24" t="s">
        <v>123</v>
      </c>
      <c r="B3" s="20"/>
      <c r="C3" s="20"/>
      <c r="D3" s="20"/>
      <c r="E3" s="20"/>
      <c r="F3" s="43" t="s">
        <v>134</v>
      </c>
      <c r="G3" s="43"/>
      <c r="H3" s="43"/>
      <c r="I3" s="45" t="s">
        <v>90</v>
      </c>
      <c r="J3" s="45"/>
      <c r="K3" s="45"/>
      <c r="L3" s="20"/>
      <c r="M3" s="20"/>
      <c r="N3" s="20"/>
      <c r="O3" s="20"/>
      <c r="P3" s="20"/>
      <c r="Q3" s="20"/>
      <c r="R3" s="20"/>
      <c r="S3" s="21"/>
    </row>
    <row r="4" spans="1:19" x14ac:dyDescent="0.25">
      <c r="A4" s="30" t="s">
        <v>112</v>
      </c>
      <c r="B4" s="11" t="s">
        <v>110</v>
      </c>
      <c r="C4" s="11" t="s">
        <v>114</v>
      </c>
      <c r="D4" s="11" t="s">
        <v>111</v>
      </c>
      <c r="E4" s="20"/>
      <c r="F4" s="43" t="s">
        <v>135</v>
      </c>
      <c r="G4" s="43"/>
      <c r="H4" s="43"/>
      <c r="I4" s="45">
        <v>12</v>
      </c>
      <c r="J4" s="45"/>
      <c r="K4" s="45"/>
      <c r="L4" s="20"/>
      <c r="M4" s="20"/>
      <c r="N4" s="20"/>
      <c r="O4" s="20"/>
      <c r="P4" s="20"/>
      <c r="Q4" s="20"/>
      <c r="R4" s="20"/>
      <c r="S4" s="21"/>
    </row>
    <row r="5" spans="1:19" x14ac:dyDescent="0.25">
      <c r="A5" s="31" t="s">
        <v>113</v>
      </c>
      <c r="B5" s="9">
        <v>0</v>
      </c>
      <c r="C5" s="9">
        <f>3/25</f>
        <v>0.12</v>
      </c>
      <c r="D5" s="10" t="s">
        <v>115</v>
      </c>
      <c r="E5" s="20"/>
      <c r="F5" s="40" t="s">
        <v>129</v>
      </c>
      <c r="G5" s="41"/>
      <c r="H5" s="42"/>
      <c r="I5" s="44" t="str">
        <f>VLOOKUP($I$3&amp;$I$4,CML!$A$1:$AC$65536,8,FALSE)</f>
        <v>2016-09-27</v>
      </c>
      <c r="J5" s="44"/>
      <c r="K5" s="44"/>
      <c r="L5" s="20"/>
      <c r="M5" s="20"/>
      <c r="N5" s="20"/>
      <c r="O5" s="20"/>
      <c r="P5" s="20"/>
      <c r="Q5" s="20"/>
      <c r="R5" s="20"/>
      <c r="S5" s="21"/>
    </row>
    <row r="6" spans="1:19" x14ac:dyDescent="0.25">
      <c r="A6" s="31" t="s">
        <v>113</v>
      </c>
      <c r="B6" s="9">
        <v>1</v>
      </c>
      <c r="C6" s="9">
        <v>0.3</v>
      </c>
      <c r="D6" s="10" t="s">
        <v>116</v>
      </c>
      <c r="E6" s="20"/>
      <c r="F6" s="40" t="s">
        <v>130</v>
      </c>
      <c r="G6" s="41"/>
      <c r="H6" s="42"/>
      <c r="I6" s="46">
        <f>VLOOKUP($I$3&amp;$I$4,CML!$A$1:$AC65536,13,FALSE)</f>
        <v>0.5</v>
      </c>
      <c r="J6" s="47"/>
      <c r="K6" s="48"/>
      <c r="L6" s="20"/>
      <c r="Q6" s="20"/>
      <c r="R6" s="20"/>
      <c r="S6" s="21"/>
    </row>
    <row r="7" spans="1:19" x14ac:dyDescent="0.25">
      <c r="A7" s="31" t="s">
        <v>113</v>
      </c>
      <c r="B7" s="9">
        <v>2</v>
      </c>
      <c r="C7" s="9">
        <v>1</v>
      </c>
      <c r="D7" s="10" t="s">
        <v>117</v>
      </c>
      <c r="E7" s="20"/>
      <c r="F7" s="39" t="s">
        <v>131</v>
      </c>
      <c r="G7" s="39"/>
      <c r="H7" s="39"/>
      <c r="I7" s="46" t="s">
        <v>133</v>
      </c>
      <c r="J7" s="47"/>
      <c r="K7" s="48"/>
      <c r="L7" s="20"/>
      <c r="Q7" s="20"/>
      <c r="R7" s="20"/>
      <c r="S7" s="21"/>
    </row>
    <row r="8" spans="1:19" x14ac:dyDescent="0.25">
      <c r="A8" s="31" t="s">
        <v>113</v>
      </c>
      <c r="B8" s="9">
        <v>3</v>
      </c>
      <c r="C8" s="9">
        <v>2</v>
      </c>
      <c r="D8" s="10" t="s">
        <v>118</v>
      </c>
      <c r="E8" s="20"/>
      <c r="F8" s="39" t="s">
        <v>132</v>
      </c>
      <c r="G8" s="39"/>
      <c r="H8" s="39"/>
      <c r="I8" s="46">
        <f>VLOOKUP($I$3&amp;$I$4,CML!$A$1:$AC$65536,11,FALSE)</f>
        <v>10.6</v>
      </c>
      <c r="J8" s="47"/>
      <c r="K8" s="48"/>
      <c r="L8" s="20"/>
      <c r="Q8" s="20"/>
      <c r="R8" s="20"/>
      <c r="S8" s="21"/>
    </row>
    <row r="9" spans="1:19" x14ac:dyDescent="0.25">
      <c r="A9" s="32" t="s">
        <v>113</v>
      </c>
      <c r="B9" s="9">
        <v>10.6</v>
      </c>
      <c r="C9" s="13">
        <v>0</v>
      </c>
      <c r="D9" s="14" t="s">
        <v>119</v>
      </c>
      <c r="E9" s="20"/>
      <c r="J9" s="20"/>
      <c r="K9" s="20"/>
      <c r="L9" s="20"/>
      <c r="Q9" s="20"/>
      <c r="R9" s="20"/>
      <c r="S9" s="21"/>
    </row>
    <row r="10" spans="1:19" ht="15.75" thickBot="1" x14ac:dyDescent="0.3">
      <c r="A10" s="26"/>
      <c r="B10" s="28"/>
      <c r="C10" s="28"/>
      <c r="D10" s="28"/>
      <c r="E10" s="28"/>
      <c r="J10" s="28"/>
      <c r="K10" s="28"/>
      <c r="L10" s="28"/>
      <c r="M10" s="28"/>
      <c r="N10" s="28"/>
      <c r="O10" s="28"/>
      <c r="P10" s="28"/>
      <c r="Q10" s="28"/>
      <c r="R10" s="28"/>
      <c r="S10" s="29"/>
    </row>
    <row r="11" spans="1:19" ht="15.75" thickBot="1" x14ac:dyDescent="0.3">
      <c r="A11" s="34" t="s">
        <v>127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6"/>
    </row>
    <row r="12" spans="1:19" x14ac:dyDescent="0.25">
      <c r="A12" s="19"/>
      <c r="B12" s="20"/>
      <c r="C12" s="20"/>
      <c r="D12" s="21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1"/>
    </row>
    <row r="13" spans="1:19" x14ac:dyDescent="0.25">
      <c r="A13" s="22" t="s">
        <v>124</v>
      </c>
      <c r="B13" s="20"/>
      <c r="C13" s="20"/>
      <c r="D13" s="21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1"/>
    </row>
    <row r="14" spans="1:19" x14ac:dyDescent="0.25">
      <c r="A14" s="23" t="s">
        <v>122</v>
      </c>
      <c r="B14" s="18" t="s">
        <v>120</v>
      </c>
      <c r="C14" s="20"/>
      <c r="D14" s="21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1"/>
    </row>
    <row r="15" spans="1:19" x14ac:dyDescent="0.25">
      <c r="A15" s="25">
        <v>42844</v>
      </c>
      <c r="B15" s="13">
        <v>0</v>
      </c>
      <c r="C15" s="20"/>
      <c r="D15" s="21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1"/>
    </row>
    <row r="16" spans="1:19" x14ac:dyDescent="0.25">
      <c r="A16" s="25">
        <v>42844</v>
      </c>
      <c r="B16" s="13">
        <v>10.6</v>
      </c>
      <c r="C16" s="20"/>
      <c r="D16" s="21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1"/>
    </row>
    <row r="17" spans="1:19" x14ac:dyDescent="0.25">
      <c r="A17" s="19"/>
      <c r="B17" s="20"/>
      <c r="C17" s="20"/>
      <c r="D17" s="21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1"/>
    </row>
    <row r="18" spans="1:19" x14ac:dyDescent="0.25">
      <c r="A18" s="24" t="s">
        <v>125</v>
      </c>
      <c r="B18" s="20"/>
      <c r="C18" s="20"/>
      <c r="D18" s="21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1"/>
    </row>
    <row r="19" spans="1:19" x14ac:dyDescent="0.25">
      <c r="A19" s="23" t="s">
        <v>122</v>
      </c>
      <c r="B19" s="18" t="s">
        <v>120</v>
      </c>
      <c r="C19" s="20"/>
      <c r="D19" s="21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1"/>
    </row>
    <row r="20" spans="1:19" x14ac:dyDescent="0.25">
      <c r="A20" s="25">
        <v>47128</v>
      </c>
      <c r="B20" s="13">
        <v>0</v>
      </c>
      <c r="C20" s="20"/>
      <c r="D20" s="21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1"/>
    </row>
    <row r="21" spans="1:19" x14ac:dyDescent="0.25">
      <c r="A21" s="25">
        <v>47128</v>
      </c>
      <c r="B21" s="13">
        <v>10.6</v>
      </c>
      <c r="C21" s="20"/>
      <c r="D21" s="21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1"/>
    </row>
    <row r="22" spans="1:19" x14ac:dyDescent="0.25">
      <c r="A22" s="19"/>
      <c r="B22" s="20"/>
      <c r="C22" s="20"/>
      <c r="D22" s="21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1"/>
    </row>
    <row r="23" spans="1:19" x14ac:dyDescent="0.25">
      <c r="A23" s="24" t="s">
        <v>126</v>
      </c>
      <c r="B23" s="20"/>
      <c r="C23" s="20"/>
      <c r="D23" s="21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1"/>
    </row>
    <row r="24" spans="1:19" x14ac:dyDescent="0.25">
      <c r="A24" s="23" t="s">
        <v>122</v>
      </c>
      <c r="B24" s="18" t="s">
        <v>120</v>
      </c>
      <c r="C24" s="20"/>
      <c r="D24" s="21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1"/>
    </row>
    <row r="25" spans="1:19" x14ac:dyDescent="0.25">
      <c r="A25" s="25">
        <v>42640</v>
      </c>
      <c r="B25" s="13">
        <v>10.6</v>
      </c>
      <c r="C25" s="20"/>
      <c r="D25" s="21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1"/>
    </row>
    <row r="26" spans="1:19" x14ac:dyDescent="0.25">
      <c r="A26" s="25">
        <v>47128</v>
      </c>
      <c r="B26" s="13">
        <v>10.6</v>
      </c>
      <c r="C26" s="20"/>
      <c r="D26" s="21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1"/>
    </row>
    <row r="27" spans="1:19" x14ac:dyDescent="0.25">
      <c r="A27" s="19"/>
      <c r="B27" s="20"/>
      <c r="C27" s="20"/>
      <c r="D27" s="21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1"/>
    </row>
    <row r="28" spans="1:19" x14ac:dyDescent="0.25">
      <c r="A28" s="24" t="s">
        <v>137</v>
      </c>
      <c r="B28" s="20"/>
      <c r="C28" s="20"/>
      <c r="D28" s="21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1"/>
    </row>
    <row r="29" spans="1:19" x14ac:dyDescent="0.25">
      <c r="A29" s="23" t="s">
        <v>122</v>
      </c>
      <c r="B29" s="18" t="s">
        <v>120</v>
      </c>
      <c r="C29" s="20"/>
      <c r="D29" s="21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1"/>
    </row>
    <row r="30" spans="1:19" x14ac:dyDescent="0.25">
      <c r="A30" s="25">
        <v>42844</v>
      </c>
      <c r="B30" s="13">
        <v>0.56999999999999995</v>
      </c>
      <c r="C30" s="33"/>
      <c r="D30" s="21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1"/>
    </row>
    <row r="31" spans="1:19" x14ac:dyDescent="0.25">
      <c r="A31" s="25">
        <v>47128</v>
      </c>
      <c r="B31" s="13">
        <v>10.6</v>
      </c>
      <c r="C31" s="20"/>
      <c r="D31" s="21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1"/>
    </row>
    <row r="32" spans="1:19" x14ac:dyDescent="0.25">
      <c r="A32" s="49"/>
      <c r="B32" s="51"/>
      <c r="C32" s="20"/>
      <c r="D32" s="21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1"/>
    </row>
    <row r="33" spans="1:19" x14ac:dyDescent="0.25">
      <c r="A33" s="50" t="s">
        <v>122</v>
      </c>
      <c r="B33" s="18" t="s">
        <v>120</v>
      </c>
      <c r="C33" s="11" t="s">
        <v>121</v>
      </c>
      <c r="D33" s="21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1"/>
    </row>
    <row r="34" spans="1:19" x14ac:dyDescent="0.25">
      <c r="A34" s="25">
        <v>42640</v>
      </c>
      <c r="B34" s="16">
        <v>0.5</v>
      </c>
      <c r="C34" s="17">
        <v>0.12</v>
      </c>
      <c r="D34" s="21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1"/>
    </row>
    <row r="35" spans="1:19" x14ac:dyDescent="0.25">
      <c r="A35" s="25">
        <v>42844</v>
      </c>
      <c r="B35" s="16">
        <v>0.56706849315068497</v>
      </c>
      <c r="C35" s="17">
        <v>0</v>
      </c>
      <c r="D35" s="21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1"/>
    </row>
    <row r="36" spans="1:19" x14ac:dyDescent="0.25">
      <c r="A36" s="25">
        <v>44160</v>
      </c>
      <c r="B36" s="16">
        <v>1</v>
      </c>
      <c r="C36" s="17">
        <v>0.12</v>
      </c>
      <c r="D36" s="21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1"/>
    </row>
    <row r="37" spans="1:19" x14ac:dyDescent="0.25">
      <c r="A37" s="25">
        <v>45376</v>
      </c>
      <c r="B37" s="16">
        <v>2</v>
      </c>
      <c r="C37" s="17">
        <v>0.3</v>
      </c>
      <c r="D37" s="21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1"/>
    </row>
    <row r="38" spans="1:19" x14ac:dyDescent="0.25">
      <c r="A38" s="25">
        <v>45741</v>
      </c>
      <c r="B38" s="16">
        <v>3</v>
      </c>
      <c r="C38" s="17">
        <v>1</v>
      </c>
      <c r="D38" s="21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1"/>
    </row>
    <row r="39" spans="1:19" x14ac:dyDescent="0.25">
      <c r="A39" s="25">
        <v>47128</v>
      </c>
      <c r="B39" s="16">
        <v>10.6</v>
      </c>
      <c r="C39" s="17">
        <v>2</v>
      </c>
      <c r="D39" s="21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1"/>
    </row>
    <row r="40" spans="1:19" x14ac:dyDescent="0.25">
      <c r="A40" s="37"/>
      <c r="B40" s="16"/>
      <c r="C40" s="17"/>
      <c r="D40" s="21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1"/>
    </row>
    <row r="41" spans="1:19" x14ac:dyDescent="0.25">
      <c r="A41" s="37"/>
      <c r="B41" s="16"/>
      <c r="C41" s="17"/>
      <c r="D41" s="21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1"/>
    </row>
    <row r="42" spans="1:19" x14ac:dyDescent="0.25">
      <c r="A42" s="37"/>
      <c r="B42" s="16"/>
      <c r="C42" s="17"/>
      <c r="D42" s="21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1"/>
    </row>
    <row r="43" spans="1:19" x14ac:dyDescent="0.25">
      <c r="A43" s="37"/>
      <c r="B43" s="16"/>
      <c r="C43" s="17"/>
      <c r="D43" s="21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1"/>
    </row>
    <row r="44" spans="1:19" x14ac:dyDescent="0.25">
      <c r="A44" s="37"/>
      <c r="B44" s="16"/>
      <c r="C44" s="17"/>
      <c r="D44" s="21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1"/>
    </row>
    <row r="45" spans="1:19" x14ac:dyDescent="0.25">
      <c r="A45" s="37"/>
      <c r="B45" s="16"/>
      <c r="C45" s="17"/>
      <c r="D45" s="21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1"/>
    </row>
    <row r="46" spans="1:19" x14ac:dyDescent="0.25">
      <c r="A46" s="38"/>
      <c r="B46" s="38"/>
      <c r="C46" s="38"/>
      <c r="D46" s="21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1"/>
    </row>
    <row r="47" spans="1:19" ht="15.75" thickBot="1" x14ac:dyDescent="0.3">
      <c r="A47" s="26"/>
      <c r="B47" s="27"/>
      <c r="C47" s="28"/>
      <c r="D47" s="29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9"/>
    </row>
    <row r="48" spans="1:19" x14ac:dyDescent="0.25">
      <c r="B48" s="15"/>
    </row>
    <row r="49" spans="2:2" x14ac:dyDescent="0.25">
      <c r="B49" s="15"/>
    </row>
    <row r="50" spans="2:2" x14ac:dyDescent="0.25">
      <c r="B50" s="15"/>
    </row>
  </sheetData>
  <sortState ref="A34:C39">
    <sortCondition ref="B34"/>
  </sortState>
  <mergeCells count="14">
    <mergeCell ref="A1:S1"/>
    <mergeCell ref="A11:S11"/>
    <mergeCell ref="F8:H8"/>
    <mergeCell ref="F7:H7"/>
    <mergeCell ref="F6:H6"/>
    <mergeCell ref="F5:H5"/>
    <mergeCell ref="F4:H4"/>
    <mergeCell ref="F3:H3"/>
    <mergeCell ref="I8:K8"/>
    <mergeCell ref="I7:K7"/>
    <mergeCell ref="I6:K6"/>
    <mergeCell ref="I5:K5"/>
    <mergeCell ref="I4:K4"/>
    <mergeCell ref="I3:K3"/>
  </mergeCells>
  <pageMargins left="0.70866141732283472" right="0.70866141732283472" top="0.74803149606299213" bottom="0.74803149606299213" header="0.31496062992125984" footer="0.31496062992125984"/>
  <pageSetup paperSize="9"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16</xdr:col>
                    <xdr:colOff>390525</xdr:colOff>
                    <xdr:row>1</xdr:row>
                    <xdr:rowOff>142875</xdr:rowOff>
                  </from>
                  <to>
                    <xdr:col>18</xdr:col>
                    <xdr:colOff>342900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CML</vt:lpstr>
      <vt:lpstr>Wall_Loss_Bands</vt:lpstr>
      <vt:lpstr>Wall_Loss_Bands!Print_Area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Rhino113</dc:creator>
  <cp:lastModifiedBy>Rhino113</cp:lastModifiedBy>
  <cp:lastPrinted>2017-04-19T04:01:13Z</cp:lastPrinted>
  <dcterms:created xsi:type="dcterms:W3CDTF">2017-04-18T05:15:36Z</dcterms:created>
  <dcterms:modified xsi:type="dcterms:W3CDTF">2017-04-19T05:10:08Z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4c673eb8-05d7-4fd1-ab47-a002505f219f</vt:lpwstr>
  </property>
</Properties>
</file>