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 Development\repos\vba-wall-loss-vs-time\"/>
    </mc:Choice>
  </mc:AlternateContent>
  <bookViews>
    <workbookView xWindow="0" yWindow="0" windowWidth="17865" windowHeight="8820" activeTab="1"/>
  </bookViews>
  <sheets>
    <sheet name="CML" sheetId="1" r:id="rId1"/>
    <sheet name="Wall_Loss_Vs_Time_Graph" sheetId="2" r:id="rId2"/>
  </sheets>
  <functionGroups builtInGroupCount="18"/>
  <externalReferences>
    <externalReference r:id="rId3"/>
    <externalReference r:id="rId4"/>
  </externalReferences>
  <definedNames>
    <definedName name="_xlnm.Print_Area" localSheetId="1">Wall_Loss_Vs_Time_Graph!$A$1:$R$47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15" i="2"/>
  <c r="C14" i="2"/>
  <c r="C13" i="2"/>
  <c r="C12" i="2"/>
  <c r="C11" i="2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C23" i="2" l="1"/>
  <c r="A2" i="1"/>
  <c r="C8" i="2" l="1"/>
  <c r="C10" i="2"/>
</calcChain>
</file>

<file path=xl/sharedStrings.xml><?xml version="1.0" encoding="utf-8"?>
<sst xmlns="http://schemas.openxmlformats.org/spreadsheetml/2006/main" count="1202" uniqueCount="298">
  <si>
    <t>EQUIPMENT_ID</t>
  </si>
  <si>
    <t>CML_NO</t>
  </si>
  <si>
    <t>CMLLOCATION</t>
  </si>
  <si>
    <t>CMLSTATUS</t>
  </si>
  <si>
    <t>LOCATIONDESCRIPTION</t>
  </si>
  <si>
    <t>CMLTYPE</t>
  </si>
  <si>
    <t>LASTINSPECTIONDATE</t>
  </si>
  <si>
    <t>NOMINALDIAMETER</t>
  </si>
  <si>
    <t>OUTSIDEDIAMETER</t>
  </si>
  <si>
    <t>NOMINALWALLTHICKNESS</t>
  </si>
  <si>
    <t>MINREMAININGWALLTHICKNESS</t>
  </si>
  <si>
    <t>DEPTHOFLOSS</t>
  </si>
  <si>
    <t>PERCENTAGELOSS</t>
  </si>
  <si>
    <t>PHOTO</t>
  </si>
  <si>
    <t>MINALLOWWALLTHICKNESS</t>
  </si>
  <si>
    <t>MAXCALCCORROSIONRATE</t>
  </si>
  <si>
    <t>MAXCALCCORROSIONRATENOTES</t>
  </si>
  <si>
    <t>DLMAXCORROSIONRATE</t>
  </si>
  <si>
    <t>APPLIEDCORROSIONRATE</t>
  </si>
  <si>
    <t>APPLIEDCORROSIONRATENOTES</t>
  </si>
  <si>
    <t>DAMAGEMECHANISM</t>
  </si>
  <si>
    <t>FAILUREMODE</t>
  </si>
  <si>
    <t>REMAININGLIFEACTUALCR</t>
  </si>
  <si>
    <t>REMAININGLIFEDLMCR</t>
  </si>
  <si>
    <t>REMAININGLIFEMAXACR</t>
  </si>
  <si>
    <t>DESIGNLIFE</t>
  </si>
  <si>
    <t>LRLDACTUAL</t>
  </si>
  <si>
    <t>LRLDAPPLIED</t>
  </si>
  <si>
    <t>POFACTUAL</t>
  </si>
  <si>
    <t>POFAPPLIED</t>
  </si>
  <si>
    <t>CRITICALITYRATINGACTUAL</t>
  </si>
  <si>
    <t>CRITICALITYRATINGAPPLIED</t>
  </si>
  <si>
    <t>CONFDEGRADATION</t>
  </si>
  <si>
    <t>CONFMONITORING</t>
  </si>
  <si>
    <t>CONFMULTIINSPECTIONS</t>
  </si>
  <si>
    <t>CONFIDENCESCORE</t>
  </si>
  <si>
    <t>CONFIDENCERATING</t>
  </si>
  <si>
    <t>INSPECTIONINTFACTORACTUAL</t>
  </si>
  <si>
    <t>INSPECTIONINTFACTORAPPLIED</t>
  </si>
  <si>
    <t>RBI_INTERVAL_ACTUAL</t>
  </si>
  <si>
    <t>RBI_INTERVAL_APPLIED</t>
  </si>
  <si>
    <t>ERROR_CODE</t>
  </si>
  <si>
    <t>COMMENTS</t>
  </si>
  <si>
    <t>CMLSTATUSREMEDIATION</t>
  </si>
  <si>
    <t>CML_STATUS_REMEDIATION_COMMENTS</t>
  </si>
  <si>
    <t>TEMPORARY_REPAIR_INSTALLED</t>
  </si>
  <si>
    <t>TEMPORARY_REPAIR_INSTALLED_COMMENTS</t>
  </si>
  <si>
    <t>ASME_31_3_MIN_ALLOW_WALL_THICKNESS_DESIGN_PRESSURE</t>
  </si>
  <si>
    <t>ASME_31_3_MIN_ALLOW_WALL_THICKNESS_OPERATING_PRESSURE</t>
  </si>
  <si>
    <t>API_574_MIN_ALLOW_WALL_THICKNESS</t>
  </si>
  <si>
    <t>MIN_ALLOW_WALL_THICKNESS_CODE</t>
  </si>
  <si>
    <t>END_OF_LIFE</t>
  </si>
  <si>
    <t>TEMPORARY_REPAIR_DATE</t>
  </si>
  <si>
    <t>ACTUALCORROSIONRATE</t>
  </si>
  <si>
    <t>DAMAGELOOPNO</t>
  </si>
  <si>
    <t>HALF_LIFE</t>
  </si>
  <si>
    <t>UTM_ZONE</t>
  </si>
  <si>
    <t>UTM_EASTING</t>
  </si>
  <si>
    <t>UTM_NORTHING</t>
  </si>
  <si>
    <t>C</t>
  </si>
  <si>
    <t>Medium</t>
  </si>
  <si>
    <t>false</t>
  </si>
  <si>
    <t>O</t>
  </si>
  <si>
    <t>Severe</t>
  </si>
  <si>
    <t>Piping</t>
  </si>
  <si>
    <t>Internal Corrosion</t>
  </si>
  <si>
    <t>Leak</t>
  </si>
  <si>
    <t>Remaining Life New</t>
  </si>
  <si>
    <t>Depth of Loss New</t>
  </si>
  <si>
    <t>ACR New</t>
  </si>
  <si>
    <t>New Calculation</t>
  </si>
  <si>
    <t>Old Calculation</t>
  </si>
  <si>
    <t>Wall Loss</t>
  </si>
  <si>
    <t>Comments</t>
  </si>
  <si>
    <t>Damageloop</t>
  </si>
  <si>
    <t>ALL</t>
  </si>
  <si>
    <t>ACR (mm/yr)</t>
  </si>
  <si>
    <t>0 - 1 mm</t>
  </si>
  <si>
    <t>1 - 2 mm</t>
  </si>
  <si>
    <t>2 - 3 mm</t>
  </si>
  <si>
    <t>&gt; 3 mm</t>
  </si>
  <si>
    <t>&gt; Nominal Wt</t>
  </si>
  <si>
    <t>wall_loss</t>
  </si>
  <si>
    <t>acr</t>
  </si>
  <si>
    <t>date_value</t>
  </si>
  <si>
    <t>ACR Bands Applied</t>
  </si>
  <si>
    <t>Remaining Life Date</t>
  </si>
  <si>
    <t>Nominal Wall Thickness Value</t>
  </si>
  <si>
    <t>Last Inspection Date</t>
  </si>
  <si>
    <t>ACR Bands Array</t>
  </si>
  <si>
    <t>Nominal Wall Thickness</t>
  </si>
  <si>
    <t>B5:C9</t>
  </si>
  <si>
    <t>Equipment_ID</t>
  </si>
  <si>
    <t>CML_ID</t>
  </si>
  <si>
    <t>PRIMARY KEY</t>
  </si>
  <si>
    <t>Recommended ACR</t>
  </si>
  <si>
    <t>Remaining Life</t>
  </si>
  <si>
    <t>ACR</t>
  </si>
  <si>
    <t>Current Remaining Life</t>
  </si>
  <si>
    <t>Current ACR</t>
  </si>
  <si>
    <t>Actual Corrosion Rate</t>
  </si>
  <si>
    <t>Actual Corrosion Rate Remaining Life</t>
  </si>
  <si>
    <t>Actual CR</t>
  </si>
  <si>
    <t>RL Actual CR</t>
  </si>
  <si>
    <t>Min Allow Wt</t>
  </si>
  <si>
    <t>B16 Production Wellhead</t>
  </si>
  <si>
    <t>Section 3</t>
  </si>
  <si>
    <t>Threaded 
straight pipe 
section 
between well 
head and 
annulus valve 
west</t>
  </si>
  <si>
    <t>2014-11-22</t>
  </si>
  <si>
    <t>29005</t>
  </si>
  <si>
    <t>Wall loss between than 2-3mm, increased CR (PW)</t>
  </si>
  <si>
    <t>Low</t>
  </si>
  <si>
    <t>2021-02-22</t>
  </si>
  <si>
    <t>BWI-1800-PF-D01</t>
  </si>
  <si>
    <t>B18M Production Wellhead</t>
  </si>
  <si>
    <t>Threaded pipe 
section 
between well 
head and 
annulus valve 
north</t>
  </si>
  <si>
    <t>2015-06-01</t>
  </si>
  <si>
    <t>27788</t>
  </si>
  <si>
    <t>2022-03-02</t>
  </si>
  <si>
    <t>B22A Production Wellhead</t>
  </si>
  <si>
    <t>Threaded 
straight pipe 
section 
between well 
head and 
annulus valve 
East</t>
  </si>
  <si>
    <t>2015-05-28</t>
  </si>
  <si>
    <t>27782</t>
  </si>
  <si>
    <t>2022-02-26</t>
  </si>
  <si>
    <t>B34 Production Wellhead</t>
  </si>
  <si>
    <t>Section 4</t>
  </si>
  <si>
    <t>Threaded 
straight pipe 
section 
between well 
head and 
annulus valve 
north</t>
  </si>
  <si>
    <t>2014-12-16</t>
  </si>
  <si>
    <t>29074</t>
  </si>
  <si>
    <t>2021-09-18</t>
  </si>
  <si>
    <t>B41B Production Wellhead</t>
  </si>
  <si>
    <t>Threaded 
straight pipe 
section 
between well 
head 
connecting 
flange and 
annulus valve 
east</t>
  </si>
  <si>
    <t>2014-12-17</t>
  </si>
  <si>
    <t>29082</t>
  </si>
  <si>
    <t>2021-01-06</t>
  </si>
  <si>
    <t>E23 Production Wellhead</t>
  </si>
  <si>
    <t>Section 2</t>
  </si>
  <si>
    <t>50NB straight 
pipe section off 
well head west to 
annulus valve</t>
  </si>
  <si>
    <t>2015-02-05</t>
  </si>
  <si>
    <t>29186</t>
  </si>
  <si>
    <t>2021-05-10</t>
  </si>
  <si>
    <t>Section 1</t>
  </si>
  <si>
    <t>50NB straight 
pipe section off 
well head east to 
annulus valve</t>
  </si>
  <si>
    <t>29187</t>
  </si>
  <si>
    <t>2021-12-15</t>
  </si>
  <si>
    <t>F21A Production Wellhead</t>
  </si>
  <si>
    <t>Threaded 
straight pipe 
section 
between well 
head and 
annulus valve
east</t>
  </si>
  <si>
    <t>2014-12-18</t>
  </si>
  <si>
    <t>29127</t>
  </si>
  <si>
    <t>F42 Production Wellhead</t>
  </si>
  <si>
    <t>Section 5</t>
  </si>
  <si>
    <t>Threaded 
straight pipe 
section 
between 
bottom well 
head and 
annulus valve 
West</t>
  </si>
  <si>
    <t>2015-01-10</t>
  </si>
  <si>
    <t>29153</t>
  </si>
  <si>
    <t>2021-10-10</t>
  </si>
  <si>
    <t>F43A Production Wellhead</t>
  </si>
  <si>
    <t>Threaded 
straight pipe 
section 
between well 
head and 
annulus valve 
south</t>
  </si>
  <si>
    <t>2015-01-09</t>
  </si>
  <si>
    <t>29144</t>
  </si>
  <si>
    <t>F44 Production Wellhead</t>
  </si>
  <si>
    <t>Threaded 
straight pipe 
section 
between well 
head and 
annulus valve 
east</t>
  </si>
  <si>
    <t>2014-12-21</t>
  </si>
  <si>
    <t>29113</t>
  </si>
  <si>
    <t>2021-04-29</t>
  </si>
  <si>
    <t>F44M Production Wellhead</t>
  </si>
  <si>
    <t>Threaded 
straight pipe 
section 
between 
bottom well 
head and 
annulus valve 
south</t>
  </si>
  <si>
    <t>2015-01-07</t>
  </si>
  <si>
    <t>29131</t>
  </si>
  <si>
    <t>2021-07-29</t>
  </si>
  <si>
    <t>Threaded 
straight pipe 
section 
between 
bottom well 
head and 
annulus valve 
north</t>
  </si>
  <si>
    <t>29132</t>
  </si>
  <si>
    <t>2021-09-04</t>
  </si>
  <si>
    <t>F55M Production Wellhead</t>
  </si>
  <si>
    <t>Threaded straight 
pipe section 
between well 
head and annulus 
valve</t>
  </si>
  <si>
    <t>2015-04-20</t>
  </si>
  <si>
    <t>27498</t>
  </si>
  <si>
    <t>F61 Production Wellhead</t>
  </si>
  <si>
    <t>29140</t>
  </si>
  <si>
    <t>2021-06-23</t>
  </si>
  <si>
    <t>29139</t>
  </si>
  <si>
    <t>F71 Production Wellhead</t>
  </si>
  <si>
    <t>Section 6</t>
  </si>
  <si>
    <t>Threaded 
straight pipe 
section 
between top 
well head and 
annulus valve 
west</t>
  </si>
  <si>
    <t>2014-12-20</t>
  </si>
  <si>
    <t>29100</t>
  </si>
  <si>
    <t>2021-01-10</t>
  </si>
  <si>
    <t>Threaded 
straight pipe 
section 
between top 
well head and 
annulus valve 
east</t>
  </si>
  <si>
    <t>29097</t>
  </si>
  <si>
    <t>2021-02-15</t>
  </si>
  <si>
    <t>G77M Production Wellhead</t>
  </si>
  <si>
    <t>2015-04-27</t>
  </si>
  <si>
    <t>28870</t>
  </si>
  <si>
    <t>2021-01-28</t>
  </si>
  <si>
    <t>K14 Production Wellhead</t>
  </si>
  <si>
    <t>50NB to 15NB 
reducing fitting 
to 15NB valve 
(west of well 
head)</t>
  </si>
  <si>
    <t>2015-01-14</t>
  </si>
  <si>
    <t>28233</t>
  </si>
  <si>
    <t>2021-08-06</t>
  </si>
  <si>
    <t>K62 Production Wellhead</t>
  </si>
  <si>
    <t>50NB straight 
pipe section from 
well head to 
annulus valve</t>
  </si>
  <si>
    <t>2015-03-16</t>
  </si>
  <si>
    <t>28697</t>
  </si>
  <si>
    <t>2019-10-04</t>
  </si>
  <si>
    <t>K66 Production Wellhead</t>
  </si>
  <si>
    <t>28701</t>
  </si>
  <si>
    <t>28702</t>
  </si>
  <si>
    <t>L23 Production Wellhead</t>
  </si>
  <si>
    <t>2015-03-15</t>
  </si>
  <si>
    <t>28678</t>
  </si>
  <si>
    <t>2020-12-15</t>
  </si>
  <si>
    <t>L62 Production Wellhead</t>
  </si>
  <si>
    <t>Threaded straight 
pipe section 
between well 
head and annulus 
valve
north</t>
  </si>
  <si>
    <t>2015-02-02</t>
  </si>
  <si>
    <t>28373</t>
  </si>
  <si>
    <t>L64 Production Wellhead</t>
  </si>
  <si>
    <t>50NB straight 
pipe section from 
well head south 
to valve</t>
  </si>
  <si>
    <t>2015-02-11</t>
  </si>
  <si>
    <t>28430</t>
  </si>
  <si>
    <t>2020-04-07</t>
  </si>
  <si>
    <t>L65 Production Wellhead</t>
  </si>
  <si>
    <t>50NB straight 
pipe section from 
well head east to 
annulus valve</t>
  </si>
  <si>
    <t>2015-02-15</t>
  </si>
  <si>
    <t>28454</t>
  </si>
  <si>
    <t>L82 Production Wellhead</t>
  </si>
  <si>
    <t>29103</t>
  </si>
  <si>
    <t>2021-03-24</t>
  </si>
  <si>
    <t>M23 Production Wellhead</t>
  </si>
  <si>
    <t>2015-03-09</t>
  </si>
  <si>
    <t>28657</t>
  </si>
  <si>
    <t>2021-09-26</t>
  </si>
  <si>
    <t>M24 Production Wellhead</t>
  </si>
  <si>
    <t>2015-03-07</t>
  </si>
  <si>
    <t>28605</t>
  </si>
  <si>
    <t>2021-07-15</t>
  </si>
  <si>
    <t>M26 Production Wellhead</t>
  </si>
  <si>
    <t>2015-03-08</t>
  </si>
  <si>
    <t>28637</t>
  </si>
  <si>
    <t>2020-07-15</t>
  </si>
  <si>
    <t>M27 Production Wellhead</t>
  </si>
  <si>
    <t>28632</t>
  </si>
  <si>
    <t>2020-09-26</t>
  </si>
  <si>
    <t>M84M Production Wellhead</t>
  </si>
  <si>
    <t>2015-04-01</t>
  </si>
  <si>
    <t>27391</t>
  </si>
  <si>
    <t>2021-11-27</t>
  </si>
  <si>
    <t>P21 Production Wellhead</t>
  </si>
  <si>
    <t>2015-03-04</t>
  </si>
  <si>
    <t>28566</t>
  </si>
  <si>
    <t>2021-09-22</t>
  </si>
  <si>
    <t>P23 Production Wellhead</t>
  </si>
  <si>
    <t>2015-06-03</t>
  </si>
  <si>
    <t>27846</t>
  </si>
  <si>
    <t>2021-11-16</t>
  </si>
  <si>
    <t>P24 Production Wellhead</t>
  </si>
  <si>
    <t>28570</t>
  </si>
  <si>
    <t>2020-12-04</t>
  </si>
  <si>
    <t>P46 Production Wellhead</t>
  </si>
  <si>
    <t>2015-03-05</t>
  </si>
  <si>
    <t>28575</t>
  </si>
  <si>
    <t>P66 Production Wellhead</t>
  </si>
  <si>
    <t>28629</t>
  </si>
  <si>
    <t>P71A Production Wellhead</t>
  </si>
  <si>
    <t>2015-06-06</t>
  </si>
  <si>
    <t>27867</t>
  </si>
  <si>
    <t>2021-04-14</t>
  </si>
  <si>
    <t>27868</t>
  </si>
  <si>
    <t>2021-09-07</t>
  </si>
  <si>
    <t>P81 Production Wellhead</t>
  </si>
  <si>
    <t>2015-03-06</t>
  </si>
  <si>
    <t>28593</t>
  </si>
  <si>
    <t>P86 Production Wellhead</t>
  </si>
  <si>
    <t>28589</t>
  </si>
  <si>
    <t>2021-02-19</t>
  </si>
  <si>
    <t>Q45 Production Wellhead</t>
  </si>
  <si>
    <t>Threaded straight 
pipe section 
between well 
head and annulus 
valve
east</t>
  </si>
  <si>
    <t>2015-02-26</t>
  </si>
  <si>
    <t>28530</t>
  </si>
  <si>
    <t>2022-04-22</t>
  </si>
  <si>
    <t>Q52A Production Wellhead</t>
  </si>
  <si>
    <t>28694</t>
  </si>
  <si>
    <t>2021-11-08</t>
  </si>
  <si>
    <t>Q78 Production Wellhead</t>
  </si>
  <si>
    <t>2015-03-11</t>
  </si>
  <si>
    <t>28671</t>
  </si>
  <si>
    <t>2021-01-17</t>
  </si>
  <si>
    <t>Q83 Production Wellhead</t>
  </si>
  <si>
    <t>28682</t>
  </si>
  <si>
    <t>2021-06-12</t>
  </si>
  <si>
    <t>Y73M Production Wellhead</t>
  </si>
  <si>
    <t>2015-06-02</t>
  </si>
  <si>
    <t>27822</t>
  </si>
  <si>
    <t>2020-05-17</t>
  </si>
  <si>
    <t>Maximum Allowable Wall Loss</t>
  </si>
  <si>
    <t>Plotted Data</t>
  </si>
  <si>
    <t>-</t>
  </si>
  <si>
    <t>Graph Name</t>
  </si>
  <si>
    <t>Todays Date Vertical Line</t>
  </si>
  <si>
    <t>Last Inspection Date 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</si>
</sst>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/>
    <xf numFmtId="0" fontId="0" fillId="2" borderId="0" xfId="0" applyFill="1" applyAlignment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0" fontId="0" fillId="0" borderId="0" xfId="0" applyFill="1"/>
    <xf numFmtId="0" fontId="0" fillId="0" borderId="0" xfId="0" applyFill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1" fillId="5" borderId="1" xfId="0" applyFont="1" applyFill="1" applyBorder="1" applyAlignment="1">
      <alignment horizontal="center"/>
    </xf>
    <xf numFmtId="22" fontId="0" fillId="0" borderId="0" xfId="0" applyNumberFormat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19" fontId="0" fillId="0" borderId="0" xfId="0" applyNumberFormat="1"/>
    <xf numFmtId="2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2" fontId="1" fillId="5" borderId="1" xfId="0" applyNumberFormat="1" applyFont="1" applyFill="1" applyBorder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2" fillId="0" borderId="2" xfId="0" applyFont="1" applyFill="1" applyBorder="1" applyAlignment="1">
      <alignment horizontal="left"/>
    </xf>
    <xf numFmtId="14" fontId="1" fillId="5" borderId="4" xfId="0" applyNumberFormat="1" applyFont="1" applyFill="1" applyBorder="1" applyAlignment="1">
      <alignment horizontal="center"/>
    </xf>
    <xf numFmtId="0" fontId="2" fillId="0" borderId="2" xfId="0" applyFont="1" applyBorder="1"/>
    <xf numFmtId="14" fontId="0" fillId="0" borderId="4" xfId="0" applyNumberFormat="1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5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Border="1"/>
    <xf numFmtId="14" fontId="0" fillId="0" borderId="2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4" xfId="0" applyBorder="1"/>
    <xf numFmtId="14" fontId="0" fillId="0" borderId="4" xfId="0" applyNumberFormat="1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1" xfId="0" applyFill="1" applyBorder="1"/>
    <xf numFmtId="0" fontId="1" fillId="0" borderId="0" xfId="0" applyFont="1" applyAlignment="1"/>
    <xf numFmtId="0" fontId="0" fillId="0" borderId="9" xfId="0" applyBorder="1"/>
    <xf numFmtId="0" fontId="0" fillId="0" borderId="10" xfId="0" applyBorder="1"/>
    <xf numFmtId="0" fontId="0" fillId="0" borderId="11" xfId="0" applyBorder="1"/>
    <xf numFmtId="14" fontId="0" fillId="0" borderId="0" xfId="0" applyNumberFormat="1"/>
    <xf numFmtId="0" fontId="2" fillId="0" borderId="0" xfId="0" applyFont="1"/>
    <xf numFmtId="0" fontId="0" fillId="0" borderId="0" xfId="0" applyFill="1" applyBorder="1" applyAlignment="1">
      <alignment horizontal="left"/>
    </xf>
    <xf numFmtId="0" fontId="1" fillId="0" borderId="0" xfId="0" applyFont="1" applyBorder="1" applyAlignment="1">
      <alignment horizontal="right"/>
    </xf>
    <xf numFmtId="0" fontId="0" fillId="0" borderId="1" xfId="0" applyBorder="1" applyAlignment="1"/>
    <xf numFmtId="14" fontId="0" fillId="0" borderId="1" xfId="0" applyNumberFormat="1" applyBorder="1"/>
    <xf numFmtId="14" fontId="0" fillId="0" borderId="0" xfId="0" applyNumberFormat="1" applyBorder="1"/>
    <xf numFmtId="19" fontId="0" fillId="0" borderId="0" xfId="0" applyNumberFormat="1" applyBorder="1"/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2" fillId="0" borderId="2" xfId="0" applyFont="1" applyFill="1" applyBorder="1"/>
    <xf numFmtId="0" fontId="0" fillId="0" borderId="0" xfId="0" applyFill="1" applyBorder="1"/>
    <xf numFmtId="0" fontId="0" fillId="0" borderId="3" xfId="0" applyFill="1" applyBorder="1"/>
    <xf numFmtId="0" fontId="1" fillId="0" borderId="1" xfId="0" applyFont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14" fontId="0" fillId="0" borderId="2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1" fillId="0" borderId="0" xfId="0" applyFont="1" applyFill="1" applyBorder="1" applyAlignment="1"/>
    <xf numFmtId="0" fontId="1" fillId="0" borderId="9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1" fillId="6" borderId="1" xfId="0" applyFont="1" applyFill="1" applyBorder="1" applyAlignment="1">
      <alignment horizontal="left"/>
    </xf>
    <xf numFmtId="0" fontId="1" fillId="0" borderId="12" xfId="0" applyFont="1" applyFill="1" applyBorder="1" applyAlignment="1">
      <alignment horizontal="right"/>
    </xf>
    <xf numFmtId="0" fontId="1" fillId="0" borderId="8" xfId="0" applyFont="1" applyFill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4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5" borderId="4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1" fillId="0" borderId="12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colors>
    <mruColors>
      <color rgb="FFFF3399"/>
      <color rgb="FF1A5092"/>
      <color rgb="FF1307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16917462532286"/>
          <c:y val="9.2492810890724822E-2"/>
          <c:w val="0.8505473397741552"/>
          <c:h val="0.66027909302034915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Wall_Loss_Vs_Time_Graph!#REF!</c:f>
            </c:numRef>
          </c:xVal>
          <c:yVal>
            <c:numRef>
              <c:f>Wall_Loss_Vs_Time_Graph!#REF!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Today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Wall_Loss_Vs_Time_Graph!$Z$5:$Z$6</c:f>
              <c:numCache>
                <c:formatCode>m/d/yyyy</c:formatCode>
                <c:ptCount val="2"/>
                <c:pt idx="0">
                  <c:v>42845</c:v>
                </c:pt>
                <c:pt idx="1">
                  <c:v>42845</c:v>
                </c:pt>
              </c:numCache>
            </c:numRef>
          </c:xVal>
          <c:yVal>
            <c:numRef>
              <c:f>Wall_Loss_Vs_Time_Graph!$AA$5:$AA$6</c:f>
              <c:numCache>
                <c:formatCode>General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yVal>
          <c:smooth val="0"/>
        </c:ser>
        <c:ser>
          <c:idx val="2"/>
          <c:order val="2"/>
          <c:tx>
            <c:v>RL</c:v>
          </c:tx>
          <c:spPr>
            <a:ln w="19050" cap="rnd" cmpd="sng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Wall_Loss_Vs_Time_Graph!$Z$11:$Z$12</c:f>
              <c:numCache>
                <c:formatCode>m/d/yyyy</c:formatCode>
                <c:ptCount val="2"/>
                <c:pt idx="0">
                  <c:v>46735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Wall_Loss_Vs_Time_Graph!$AA$11:$AA$12</c:f>
              <c:numCache>
                <c:formatCode>General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yVal>
          <c:smooth val="0"/>
        </c:ser>
        <c:ser>
          <c:idx val="3"/>
          <c:order val="3"/>
          <c:tx>
            <c:v>Nominal Wt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2">
                    <a:lumMod val="50000"/>
                  </a:schemeClr>
                </a:solidFill>
                <a:round/>
              </a:ln>
              <a:effectLst/>
            </c:spPr>
          </c:dPt>
          <c:xVal>
            <c:numRef>
              <c:f>Wall_Loss_Vs_Time_Graph!$Z$16:$Z$17</c:f>
              <c:numCache>
                <c:formatCode>m/d/yyyy</c:formatCode>
                <c:ptCount val="2"/>
                <c:pt idx="0">
                  <c:v>42156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Wall_Loss_Vs_Time_Graph!$AA$16:$AA$17</c:f>
              <c:numCache>
                <c:formatCode>General</c:formatCode>
                <c:ptCount val="2"/>
                <c:pt idx="0">
                  <c:v>11.1</c:v>
                </c:pt>
                <c:pt idx="1">
                  <c:v>11.1</c:v>
                </c:pt>
              </c:numCache>
            </c:numRef>
          </c:yVal>
          <c:smooth val="0"/>
        </c:ser>
        <c:ser>
          <c:idx val="4"/>
          <c:order val="4"/>
          <c:tx>
            <c:v>Recommended ACR</c:v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Wall_Loss_Vs_Time_Graph!$Z$21:$Z$22</c:f>
              <c:numCache>
                <c:formatCode>m/d/yyyy</c:formatCode>
                <c:ptCount val="2"/>
                <c:pt idx="0">
                  <c:v>42845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Wall_Loss_Vs_Time_Graph!$AA$21:$AA$22</c:f>
              <c:numCache>
                <c:formatCode>General</c:formatCode>
                <c:ptCount val="2"/>
                <c:pt idx="0">
                  <c:v>0.72652054794520549</c:v>
                </c:pt>
                <c:pt idx="1">
                  <c:v>11.1</c:v>
                </c:pt>
              </c:numCache>
            </c:numRef>
          </c:yVal>
          <c:smooth val="0"/>
        </c:ser>
        <c:ser>
          <c:idx val="5"/>
          <c:order val="5"/>
          <c:tx>
            <c:v>Current RL</c:v>
          </c:tx>
          <c:spPr>
            <a:ln w="1905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Wall_Loss_Vs_Time_Graph!$Z$26:$Z$27</c:f>
              <c:numCache>
                <c:formatCode>m/d/yyyy</c:formatCode>
                <c:ptCount val="2"/>
                <c:pt idx="0">
                  <c:v>43948</c:v>
                </c:pt>
                <c:pt idx="1">
                  <c:v>43948</c:v>
                </c:pt>
              </c:numCache>
            </c:numRef>
          </c:xVal>
          <c:yVal>
            <c:numRef>
              <c:f>Wall_Loss_Vs_Time_Graph!$AA$26:$AA$27</c:f>
              <c:numCache>
                <c:formatCode>General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yVal>
          <c:smooth val="0"/>
        </c:ser>
        <c:ser>
          <c:idx val="6"/>
          <c:order val="6"/>
          <c:tx>
            <c:v>Current ACR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Wall_Loss_Vs_Time_Graph!$Z$31:$Z$32</c:f>
              <c:numCache>
                <c:formatCode>m/d/yyyy</c:formatCode>
                <c:ptCount val="2"/>
                <c:pt idx="0">
                  <c:v>42156</c:v>
                </c:pt>
                <c:pt idx="1">
                  <c:v>43948</c:v>
                </c:pt>
              </c:numCache>
            </c:numRef>
          </c:xVal>
          <c:yVal>
            <c:numRef>
              <c:f>Wall_Loss_Vs_Time_Graph!$AA$31:$AA$32</c:f>
              <c:numCache>
                <c:formatCode>General</c:formatCode>
                <c:ptCount val="2"/>
                <c:pt idx="0">
                  <c:v>0.5</c:v>
                </c:pt>
                <c:pt idx="1">
                  <c:v>11.1</c:v>
                </c:pt>
              </c:numCache>
            </c:numRef>
          </c:yVal>
          <c:smooth val="0"/>
        </c:ser>
        <c:ser>
          <c:idx val="7"/>
          <c:order val="7"/>
          <c:tx>
            <c:v>Actual CR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4"/>
                </a:solidFill>
                <a:prstDash val="dash"/>
                <a:round/>
              </a:ln>
              <a:effectLst/>
            </c:spPr>
          </c:dPt>
          <c:xVal>
            <c:numRef>
              <c:f>Wall_Loss_Vs_Time_Graph!$Z$36:$Z$37</c:f>
              <c:numCache>
                <c:formatCode>m/d/yyyy</c:formatCode>
                <c:ptCount val="2"/>
                <c:pt idx="0">
                  <c:v>42156</c:v>
                </c:pt>
                <c:pt idx="1">
                  <c:v>44283</c:v>
                </c:pt>
              </c:numCache>
            </c:numRef>
          </c:xVal>
          <c:yVal>
            <c:numRef>
              <c:f>Wall_Loss_Vs_Time_Graph!$AA$36:$AA$37</c:f>
              <c:numCache>
                <c:formatCode>General</c:formatCode>
                <c:ptCount val="2"/>
                <c:pt idx="0">
                  <c:v>0.5</c:v>
                </c:pt>
                <c:pt idx="1">
                  <c:v>11.1</c:v>
                </c:pt>
              </c:numCache>
            </c:numRef>
          </c:yVal>
          <c:smooth val="0"/>
        </c:ser>
        <c:ser>
          <c:idx val="8"/>
          <c:order val="8"/>
          <c:tx>
            <c:v>Fail FFS</c:v>
          </c:tx>
          <c:spPr>
            <a:ln w="19050" cap="rnd" cmpd="sng">
              <a:solidFill>
                <a:schemeClr val="bg2">
                  <a:lumMod val="50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Wall_Loss_Vs_Time_Graph!$AD$11:$AD$12</c:f>
              <c:numCache>
                <c:formatCode>m/d/yyyy</c:formatCode>
                <c:ptCount val="2"/>
                <c:pt idx="0">
                  <c:v>42156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Wall_Loss_Vs_Time_Graph!$AE$11:$AE$12</c:f>
              <c:numCache>
                <c:formatCode>General</c:formatCode>
                <c:ptCount val="2"/>
                <c:pt idx="0">
                  <c:v>8.9599999999999991</c:v>
                </c:pt>
                <c:pt idx="1">
                  <c:v>8.9599999999999991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573288"/>
        <c:axId val="449728496"/>
      </c:scatterChart>
      <c:valAx>
        <c:axId val="361573288"/>
        <c:scaling>
          <c:orientation val="minMax"/>
          <c:max val="46835"/>
          <c:min val="4215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Date</a:t>
                </a:r>
              </a:p>
            </c:rich>
          </c:tx>
          <c:layout>
            <c:manualLayout>
              <c:xMode val="edge"/>
              <c:yMode val="edge"/>
              <c:x val="0.50091217525194665"/>
              <c:y val="0.844871722906734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728496"/>
        <c:crosses val="autoZero"/>
        <c:crossBetween val="midCat"/>
      </c:valAx>
      <c:valAx>
        <c:axId val="44972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Wall</a:t>
                </a:r>
                <a:r>
                  <a:rPr lang="en-AU" b="1" baseline="0"/>
                  <a:t> Loss (mm)</a:t>
                </a:r>
                <a:endParaRPr lang="en-AU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7328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66746781306648"/>
          <c:y val="0.89009131589690116"/>
          <c:w val="0.67885068220670408"/>
          <c:h val="9.9280351482426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361950</xdr:colOff>
      <xdr:row>1</xdr:row>
      <xdr:rowOff>152401</xdr:rowOff>
    </xdr:from>
    <xdr:to>
      <xdr:col>17</xdr:col>
      <xdr:colOff>444500</xdr:colOff>
      <xdr:row>46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142875</xdr:rowOff>
        </xdr:from>
        <xdr:to>
          <xdr:col>1</xdr:col>
          <xdr:colOff>523875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Databases/RC-DAT-1601%20IDMAS/Tools/IDMAS_DB_MANIPULATION/IDMAS%20DB%20Manipulation%20Mac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erver\RHINO\Documents\Databases\RC-DAT-1601%20IDMAS\Tools\IDMAS_DB_MANIPULATION\IDMAS%20DB%20Manipulation%20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MASCML_CHK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MAS_DB_SUMMARY"/>
      <sheetName val="TBLS_FIELDS"/>
      <sheetName val="IDMASCML"/>
      <sheetName val="IDMASCML_CHK"/>
      <sheetName val="IDMASDAMAGELOOP"/>
      <sheetName val="IDMASDAMAGELOOP_CHK"/>
      <sheetName val="IDMASEQUIPMENT"/>
      <sheetName val="IDMASEQUIPMENT_CHK"/>
      <sheetName val="IDMASINSPECTION"/>
      <sheetName val="IDMASINSPECTION_CH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59"/>
  <sheetViews>
    <sheetView workbookViewId="0">
      <selection activeCell="M12" sqref="M12"/>
    </sheetView>
  </sheetViews>
  <sheetFormatPr defaultRowHeight="15" x14ac:dyDescent="0.25"/>
  <cols>
    <col min="1" max="1" width="19.140625" style="6" bestFit="1" customWidth="1"/>
    <col min="2" max="2" width="20.5703125" customWidth="1"/>
    <col min="3" max="3" width="8.5703125" customWidth="1"/>
    <col min="4" max="4" width="9.140625" customWidth="1"/>
    <col min="5" max="7" width="1.85546875" customWidth="1"/>
    <col min="8" max="8" width="20.7109375" style="7" customWidth="1"/>
    <col min="9" max="10" width="1.85546875" customWidth="1"/>
    <col min="11" max="11" width="24.5703125" style="7" customWidth="1"/>
    <col min="12" max="12" width="30.28515625" style="7" customWidth="1"/>
    <col min="13" max="13" width="13.5703125" style="4" bestFit="1" customWidth="1"/>
    <col min="14" max="14" width="17.7109375" style="6" bestFit="1" customWidth="1"/>
    <col min="15" max="16" width="1.85546875" customWidth="1"/>
    <col min="17" max="17" width="26" style="4" bestFit="1" customWidth="1"/>
    <col min="18" max="18" width="25.140625" style="4" bestFit="1" customWidth="1"/>
    <col min="19" max="20" width="1.85546875" customWidth="1"/>
    <col min="21" max="21" width="23.85546875" style="4" bestFit="1" customWidth="1"/>
    <col min="22" max="22" width="23.85546875" style="6" customWidth="1"/>
    <col min="23" max="25" width="1.85546875" customWidth="1"/>
    <col min="26" max="26" width="24.42578125" style="4" bestFit="1" customWidth="1"/>
    <col min="27" max="27" width="2" customWidth="1"/>
    <col min="28" max="28" width="23" style="4" bestFit="1" customWidth="1"/>
    <col min="29" max="29" width="23" style="6" customWidth="1"/>
    <col min="30" max="32" width="1.7109375" customWidth="1"/>
    <col min="33" max="33" width="13.28515625" customWidth="1"/>
    <col min="34" max="57" width="1.7109375" customWidth="1"/>
    <col min="58" max="58" width="23.42578125" style="4" bestFit="1" customWidth="1"/>
    <col min="59" max="63" width="1.7109375" customWidth="1"/>
    <col min="64" max="64" width="9.140625" customWidth="1"/>
    <col min="65" max="66" width="15.85546875" bestFit="1" customWidth="1"/>
  </cols>
  <sheetData>
    <row r="1" spans="1:67" x14ac:dyDescent="0.25">
      <c r="A1" s="6" t="s">
        <v>94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8" t="s">
        <v>6</v>
      </c>
      <c r="I1" s="1" t="s">
        <v>7</v>
      </c>
      <c r="J1" s="1" t="s">
        <v>8</v>
      </c>
      <c r="K1" s="8" t="s">
        <v>9</v>
      </c>
      <c r="L1" s="8" t="s">
        <v>10</v>
      </c>
      <c r="M1" s="3" t="s">
        <v>11</v>
      </c>
      <c r="N1" s="5" t="s">
        <v>68</v>
      </c>
      <c r="O1" s="2" t="s">
        <v>12</v>
      </c>
      <c r="P1" s="2" t="s">
        <v>13</v>
      </c>
      <c r="Q1" s="3" t="s">
        <v>14</v>
      </c>
      <c r="R1" s="3" t="s">
        <v>15</v>
      </c>
      <c r="S1" s="1" t="s">
        <v>16</v>
      </c>
      <c r="T1" s="2" t="s">
        <v>17</v>
      </c>
      <c r="U1" s="3" t="s">
        <v>18</v>
      </c>
      <c r="V1" s="5" t="s">
        <v>69</v>
      </c>
      <c r="W1" s="1" t="s">
        <v>19</v>
      </c>
      <c r="X1" s="1" t="s">
        <v>20</v>
      </c>
      <c r="Y1" s="1" t="s">
        <v>21</v>
      </c>
      <c r="Z1" s="3" t="s">
        <v>22</v>
      </c>
      <c r="AA1" s="2" t="s">
        <v>23</v>
      </c>
      <c r="AB1" s="3" t="s">
        <v>24</v>
      </c>
      <c r="AC1" s="5" t="s">
        <v>67</v>
      </c>
      <c r="AD1" s="1" t="s">
        <v>25</v>
      </c>
      <c r="AE1" s="2" t="s">
        <v>26</v>
      </c>
      <c r="AF1" s="2" t="s">
        <v>27</v>
      </c>
      <c r="AG1" s="2" t="s">
        <v>28</v>
      </c>
      <c r="AH1" s="2" t="s">
        <v>29</v>
      </c>
      <c r="AI1" s="2" t="s">
        <v>30</v>
      </c>
      <c r="AJ1" s="2" t="s">
        <v>31</v>
      </c>
      <c r="AK1" s="1" t="s">
        <v>32</v>
      </c>
      <c r="AL1" s="1" t="s">
        <v>33</v>
      </c>
      <c r="AM1" s="1" t="s">
        <v>34</v>
      </c>
      <c r="AN1" s="2" t="s">
        <v>35</v>
      </c>
      <c r="AO1" s="2" t="s">
        <v>36</v>
      </c>
      <c r="AP1" s="2" t="s">
        <v>37</v>
      </c>
      <c r="AQ1" s="2" t="s">
        <v>38</v>
      </c>
      <c r="AR1" s="2" t="s">
        <v>39</v>
      </c>
      <c r="AS1" s="2" t="s">
        <v>40</v>
      </c>
      <c r="AT1" s="2" t="s">
        <v>41</v>
      </c>
      <c r="AU1" s="1" t="s">
        <v>42</v>
      </c>
      <c r="AV1" s="1" t="s">
        <v>43</v>
      </c>
      <c r="AW1" s="1" t="s">
        <v>44</v>
      </c>
      <c r="AX1" s="1" t="s">
        <v>45</v>
      </c>
      <c r="AY1" s="1" t="s">
        <v>46</v>
      </c>
      <c r="AZ1" s="2" t="s">
        <v>47</v>
      </c>
      <c r="BA1" s="2" t="s">
        <v>48</v>
      </c>
      <c r="BB1" s="2" t="s">
        <v>49</v>
      </c>
      <c r="BC1" s="2" t="s">
        <v>50</v>
      </c>
      <c r="BD1" s="2" t="s">
        <v>51</v>
      </c>
      <c r="BE1" s="1" t="s">
        <v>52</v>
      </c>
      <c r="BF1" s="3" t="s">
        <v>53</v>
      </c>
      <c r="BG1" s="2" t="s">
        <v>54</v>
      </c>
      <c r="BH1" s="2" t="s">
        <v>55</v>
      </c>
      <c r="BI1" s="1" t="s">
        <v>56</v>
      </c>
      <c r="BJ1" s="1" t="s">
        <v>57</v>
      </c>
      <c r="BK1" s="1" t="s">
        <v>58</v>
      </c>
    </row>
    <row r="2" spans="1:67" x14ac:dyDescent="0.25">
      <c r="A2" s="6" t="str">
        <f>B2&amp;C2</f>
        <v>B16 Production Wellhead2</v>
      </c>
      <c r="B2" s="1" t="s">
        <v>105</v>
      </c>
      <c r="C2" s="1">
        <v>2</v>
      </c>
      <c r="D2" s="1" t="s">
        <v>106</v>
      </c>
      <c r="E2" s="1" t="s">
        <v>59</v>
      </c>
      <c r="F2" s="1" t="s">
        <v>107</v>
      </c>
      <c r="G2" s="1" t="s">
        <v>64</v>
      </c>
      <c r="H2" s="2" t="s">
        <v>108</v>
      </c>
      <c r="I2" s="1">
        <v>50</v>
      </c>
      <c r="J2" s="1">
        <v>60.3</v>
      </c>
      <c r="K2" s="1">
        <v>11.07</v>
      </c>
      <c r="L2" s="2">
        <v>8.4</v>
      </c>
      <c r="M2" s="2">
        <v>2.67</v>
      </c>
      <c r="N2" s="2"/>
      <c r="O2" s="2">
        <v>24.11</v>
      </c>
      <c r="P2" s="2" t="s">
        <v>109</v>
      </c>
      <c r="Q2" s="2">
        <v>2.14</v>
      </c>
      <c r="R2" s="2">
        <v>0.1</v>
      </c>
      <c r="S2" s="1"/>
      <c r="T2" s="2">
        <v>2</v>
      </c>
      <c r="U2" s="1">
        <v>1</v>
      </c>
      <c r="V2" s="1"/>
      <c r="W2" s="1" t="s">
        <v>110</v>
      </c>
      <c r="X2" s="1" t="s">
        <v>65</v>
      </c>
      <c r="Y2" s="1" t="s">
        <v>66</v>
      </c>
      <c r="Z2" s="2">
        <v>58.4</v>
      </c>
      <c r="AA2" s="2">
        <v>3.13</v>
      </c>
      <c r="AB2" s="2">
        <v>3.89</v>
      </c>
      <c r="AC2" s="2"/>
      <c r="AD2" s="1">
        <v>25</v>
      </c>
      <c r="AE2" s="2">
        <v>2.34</v>
      </c>
      <c r="AF2" s="2">
        <v>0.16</v>
      </c>
      <c r="AG2" s="2">
        <v>5</v>
      </c>
      <c r="AH2" s="2">
        <v>1</v>
      </c>
      <c r="AI2" s="2" t="s">
        <v>111</v>
      </c>
      <c r="AJ2" s="2" t="s">
        <v>63</v>
      </c>
      <c r="AK2" s="1">
        <v>0</v>
      </c>
      <c r="AL2" s="1">
        <v>0</v>
      </c>
      <c r="AM2" s="1">
        <v>0</v>
      </c>
      <c r="AN2" s="2">
        <v>0</v>
      </c>
      <c r="AO2" s="2" t="s">
        <v>60</v>
      </c>
      <c r="AP2" s="2">
        <v>0.5</v>
      </c>
      <c r="AQ2" s="2">
        <v>0.2</v>
      </c>
      <c r="AR2" s="2">
        <v>29.2</v>
      </c>
      <c r="AS2" s="2">
        <v>0.78</v>
      </c>
      <c r="AT2" s="2">
        <v>0</v>
      </c>
      <c r="AU2" s="1"/>
      <c r="AV2" s="1" t="s">
        <v>59</v>
      </c>
      <c r="AW2" s="1"/>
      <c r="AX2" s="1" t="s">
        <v>61</v>
      </c>
      <c r="AY2" s="1"/>
      <c r="AZ2" s="2">
        <v>5.58</v>
      </c>
      <c r="BA2" s="2">
        <v>2.14</v>
      </c>
      <c r="BB2" s="2">
        <v>1.8</v>
      </c>
      <c r="BC2" s="2" t="s">
        <v>62</v>
      </c>
      <c r="BD2" s="2" t="s">
        <v>112</v>
      </c>
      <c r="BE2" s="1"/>
      <c r="BF2" s="2">
        <v>0.10719942800571995</v>
      </c>
      <c r="BG2" s="2" t="s">
        <v>113</v>
      </c>
      <c r="BH2" s="2">
        <v>3.130000114440918</v>
      </c>
      <c r="BI2" s="1"/>
      <c r="BJ2" s="1"/>
      <c r="BK2" s="1"/>
      <c r="BN2" s="6"/>
      <c r="BO2" t="s">
        <v>70</v>
      </c>
    </row>
    <row r="3" spans="1:67" x14ac:dyDescent="0.25">
      <c r="A3" s="6" t="str">
        <f t="shared" ref="A3:A59" si="0">B3&amp;C3</f>
        <v>B18M Production Wellhead1</v>
      </c>
      <c r="B3" s="1" t="s">
        <v>114</v>
      </c>
      <c r="C3" s="1">
        <v>1</v>
      </c>
      <c r="D3" s="1" t="s">
        <v>106</v>
      </c>
      <c r="E3" s="1" t="s">
        <v>59</v>
      </c>
      <c r="F3" s="1" t="s">
        <v>115</v>
      </c>
      <c r="G3" s="1" t="s">
        <v>64</v>
      </c>
      <c r="H3" s="2" t="s">
        <v>116</v>
      </c>
      <c r="I3" s="1">
        <v>50</v>
      </c>
      <c r="J3" s="1">
        <v>60.3</v>
      </c>
      <c r="K3" s="1">
        <v>11.1</v>
      </c>
      <c r="L3" s="2">
        <v>8.9</v>
      </c>
      <c r="M3" s="2">
        <v>2.2000000000000002</v>
      </c>
      <c r="N3" s="2"/>
      <c r="O3" s="2">
        <v>19.809999999999999</v>
      </c>
      <c r="P3" s="2" t="s">
        <v>117</v>
      </c>
      <c r="Q3" s="2">
        <v>2.14</v>
      </c>
      <c r="R3" s="2">
        <v>1.1499999999999999</v>
      </c>
      <c r="S3" s="1"/>
      <c r="T3" s="2">
        <v>2</v>
      </c>
      <c r="U3" s="1">
        <v>1</v>
      </c>
      <c r="V3" s="1"/>
      <c r="W3" s="1" t="s">
        <v>110</v>
      </c>
      <c r="X3" s="1" t="s">
        <v>65</v>
      </c>
      <c r="Y3" s="1" t="s">
        <v>66</v>
      </c>
      <c r="Z3" s="2">
        <v>5.83</v>
      </c>
      <c r="AA3" s="2">
        <v>3.38</v>
      </c>
      <c r="AB3" s="2">
        <v>4.91</v>
      </c>
      <c r="AC3" s="2"/>
      <c r="AD3" s="1">
        <v>25</v>
      </c>
      <c r="AE3" s="2">
        <v>0.23</v>
      </c>
      <c r="AF3" s="2">
        <v>0.2</v>
      </c>
      <c r="AG3" s="2">
        <v>1</v>
      </c>
      <c r="AH3" s="2">
        <v>1</v>
      </c>
      <c r="AI3" s="2" t="s">
        <v>63</v>
      </c>
      <c r="AJ3" s="2" t="s">
        <v>63</v>
      </c>
      <c r="AK3" s="1">
        <v>0</v>
      </c>
      <c r="AL3" s="1">
        <v>0</v>
      </c>
      <c r="AM3" s="1">
        <v>0</v>
      </c>
      <c r="AN3" s="2">
        <v>0</v>
      </c>
      <c r="AO3" s="2" t="s">
        <v>60</v>
      </c>
      <c r="AP3" s="2">
        <v>0.2</v>
      </c>
      <c r="AQ3" s="2">
        <v>0.2</v>
      </c>
      <c r="AR3" s="2">
        <v>1.17</v>
      </c>
      <c r="AS3" s="2">
        <v>0.98</v>
      </c>
      <c r="AT3" s="2">
        <v>0</v>
      </c>
      <c r="AU3" s="1"/>
      <c r="AV3" s="1" t="s">
        <v>59</v>
      </c>
      <c r="AW3" s="1"/>
      <c r="AX3" s="1" t="s">
        <v>61</v>
      </c>
      <c r="AY3" s="1"/>
      <c r="AZ3" s="2">
        <v>5.58</v>
      </c>
      <c r="BA3" s="2">
        <v>2.14</v>
      </c>
      <c r="BB3" s="2">
        <v>1.8</v>
      </c>
      <c r="BC3" s="2" t="s">
        <v>62</v>
      </c>
      <c r="BD3" s="2" t="s">
        <v>118</v>
      </c>
      <c r="BE3" s="1"/>
      <c r="BF3" s="2">
        <v>1.1587301587301588</v>
      </c>
      <c r="BG3" s="2" t="s">
        <v>113</v>
      </c>
      <c r="BH3" s="2">
        <v>3.380000114440918</v>
      </c>
      <c r="BI3" s="1"/>
      <c r="BJ3" s="1"/>
      <c r="BK3" s="1"/>
      <c r="BN3" s="4"/>
      <c r="BO3" t="s">
        <v>71</v>
      </c>
    </row>
    <row r="4" spans="1:67" x14ac:dyDescent="0.25">
      <c r="A4" s="6" t="str">
        <f t="shared" si="0"/>
        <v>B22A Production Wellhead1</v>
      </c>
      <c r="B4" s="1" t="s">
        <v>119</v>
      </c>
      <c r="C4" s="1">
        <v>1</v>
      </c>
      <c r="D4" s="1" t="s">
        <v>106</v>
      </c>
      <c r="E4" s="1" t="s">
        <v>59</v>
      </c>
      <c r="F4" s="1" t="s">
        <v>120</v>
      </c>
      <c r="G4" s="1" t="s">
        <v>64</v>
      </c>
      <c r="H4" s="2" t="s">
        <v>121</v>
      </c>
      <c r="I4" s="1">
        <v>50</v>
      </c>
      <c r="J4" s="1">
        <v>60.3</v>
      </c>
      <c r="K4" s="1">
        <v>11.2</v>
      </c>
      <c r="L4" s="2">
        <v>8.9</v>
      </c>
      <c r="M4" s="2">
        <v>2.2999999999999998</v>
      </c>
      <c r="N4" s="2"/>
      <c r="O4" s="2">
        <v>20.53</v>
      </c>
      <c r="P4" s="2" t="s">
        <v>122</v>
      </c>
      <c r="Q4" s="2">
        <v>2.14</v>
      </c>
      <c r="R4" s="2">
        <v>1.72</v>
      </c>
      <c r="S4" s="1"/>
      <c r="T4" s="2">
        <v>2</v>
      </c>
      <c r="U4" s="1">
        <v>1</v>
      </c>
      <c r="V4" s="1"/>
      <c r="W4" s="1" t="s">
        <v>110</v>
      </c>
      <c r="X4" s="1" t="s">
        <v>65</v>
      </c>
      <c r="Y4" s="1" t="s">
        <v>66</v>
      </c>
      <c r="Z4" s="2">
        <v>3.91</v>
      </c>
      <c r="AA4" s="2">
        <v>3.38</v>
      </c>
      <c r="AB4" s="2">
        <v>4.9000000000000004</v>
      </c>
      <c r="AC4" s="2"/>
      <c r="AD4" s="1">
        <v>25</v>
      </c>
      <c r="AE4" s="2">
        <v>0.16</v>
      </c>
      <c r="AF4" s="2">
        <v>0.2</v>
      </c>
      <c r="AG4" s="2">
        <v>1</v>
      </c>
      <c r="AH4" s="2">
        <v>1</v>
      </c>
      <c r="AI4" s="2" t="s">
        <v>63</v>
      </c>
      <c r="AJ4" s="2" t="s">
        <v>63</v>
      </c>
      <c r="AK4" s="1">
        <v>0</v>
      </c>
      <c r="AL4" s="1">
        <v>0</v>
      </c>
      <c r="AM4" s="1">
        <v>0</v>
      </c>
      <c r="AN4" s="2">
        <v>0</v>
      </c>
      <c r="AO4" s="2" t="s">
        <v>60</v>
      </c>
      <c r="AP4" s="2">
        <v>0.2</v>
      </c>
      <c r="AQ4" s="2">
        <v>0.2</v>
      </c>
      <c r="AR4" s="2">
        <v>0.78</v>
      </c>
      <c r="AS4" s="2">
        <v>0.98</v>
      </c>
      <c r="AT4" s="2">
        <v>0</v>
      </c>
      <c r="AU4" s="1"/>
      <c r="AV4" s="1" t="s">
        <v>59</v>
      </c>
      <c r="AW4" s="1"/>
      <c r="AX4" s="1" t="s">
        <v>61</v>
      </c>
      <c r="AY4" s="1"/>
      <c r="AZ4" s="2">
        <v>5.58</v>
      </c>
      <c r="BA4" s="2">
        <v>2.14</v>
      </c>
      <c r="BB4" s="2">
        <v>1.8</v>
      </c>
      <c r="BC4" s="2" t="s">
        <v>62</v>
      </c>
      <c r="BD4" s="2" t="s">
        <v>123</v>
      </c>
      <c r="BE4" s="1"/>
      <c r="BF4" s="2">
        <v>1.7278106508875741</v>
      </c>
      <c r="BG4" s="2" t="s">
        <v>113</v>
      </c>
      <c r="BH4" s="2">
        <v>3.380000114440918</v>
      </c>
      <c r="BI4" s="1"/>
      <c r="BJ4" s="1"/>
      <c r="BK4" s="1"/>
    </row>
    <row r="5" spans="1:67" x14ac:dyDescent="0.25">
      <c r="A5" s="6" t="str">
        <f t="shared" si="0"/>
        <v>B34 Production Wellhead2</v>
      </c>
      <c r="B5" s="1" t="s">
        <v>124</v>
      </c>
      <c r="C5" s="1">
        <v>2</v>
      </c>
      <c r="D5" s="1" t="s">
        <v>125</v>
      </c>
      <c r="E5" s="1" t="s">
        <v>59</v>
      </c>
      <c r="F5" s="1" t="s">
        <v>126</v>
      </c>
      <c r="G5" s="1" t="s">
        <v>64</v>
      </c>
      <c r="H5" s="2" t="s">
        <v>127</v>
      </c>
      <c r="I5" s="1">
        <v>50</v>
      </c>
      <c r="J5" s="1">
        <v>60.3</v>
      </c>
      <c r="K5" s="1">
        <v>11.07</v>
      </c>
      <c r="L5" s="2">
        <v>8.9</v>
      </c>
      <c r="M5" s="2">
        <v>2.17</v>
      </c>
      <c r="N5" s="2"/>
      <c r="O5" s="2">
        <v>19.600000000000001</v>
      </c>
      <c r="P5" s="2" t="s">
        <v>128</v>
      </c>
      <c r="Q5" s="2">
        <v>2.14</v>
      </c>
      <c r="R5" s="2">
        <v>0.08</v>
      </c>
      <c r="S5" s="1"/>
      <c r="T5" s="2">
        <v>2</v>
      </c>
      <c r="U5" s="1">
        <v>1</v>
      </c>
      <c r="V5" s="1"/>
      <c r="W5" s="1" t="s">
        <v>110</v>
      </c>
      <c r="X5" s="1" t="s">
        <v>65</v>
      </c>
      <c r="Y5" s="1" t="s">
        <v>66</v>
      </c>
      <c r="Z5" s="2">
        <v>77.790000000000006</v>
      </c>
      <c r="AA5" s="2">
        <v>3.38</v>
      </c>
      <c r="AB5" s="2">
        <v>4.46</v>
      </c>
      <c r="AC5" s="2"/>
      <c r="AD5" s="1">
        <v>25</v>
      </c>
      <c r="AE5" s="2">
        <v>3.11</v>
      </c>
      <c r="AF5" s="2">
        <v>0.18</v>
      </c>
      <c r="AG5" s="2">
        <v>5</v>
      </c>
      <c r="AH5" s="2">
        <v>1</v>
      </c>
      <c r="AI5" s="2" t="s">
        <v>111</v>
      </c>
      <c r="AJ5" s="2" t="s">
        <v>63</v>
      </c>
      <c r="AK5" s="1">
        <v>0</v>
      </c>
      <c r="AL5" s="1">
        <v>0</v>
      </c>
      <c r="AM5" s="1">
        <v>0</v>
      </c>
      <c r="AN5" s="2">
        <v>0</v>
      </c>
      <c r="AO5" s="2" t="s">
        <v>60</v>
      </c>
      <c r="AP5" s="2">
        <v>0.5</v>
      </c>
      <c r="AQ5" s="2">
        <v>0.2</v>
      </c>
      <c r="AR5" s="2">
        <v>38.9</v>
      </c>
      <c r="AS5" s="2">
        <v>0.89</v>
      </c>
      <c r="AT5" s="2">
        <v>0</v>
      </c>
      <c r="AU5" s="1"/>
      <c r="AV5" s="1" t="s">
        <v>59</v>
      </c>
      <c r="AW5" s="1"/>
      <c r="AX5" s="1" t="s">
        <v>61</v>
      </c>
      <c r="AY5" s="1"/>
      <c r="AZ5" s="2">
        <v>5.58</v>
      </c>
      <c r="BA5" s="2">
        <v>2.14</v>
      </c>
      <c r="BB5" s="2">
        <v>1.8</v>
      </c>
      <c r="BC5" s="2" t="s">
        <v>62</v>
      </c>
      <c r="BD5" s="2" t="s">
        <v>129</v>
      </c>
      <c r="BE5" s="1"/>
      <c r="BF5" s="2">
        <v>8.6895227646736142E-2</v>
      </c>
      <c r="BG5" s="2" t="s">
        <v>113</v>
      </c>
      <c r="BH5" s="2">
        <v>3.380000114440918</v>
      </c>
      <c r="BI5" s="1"/>
      <c r="BJ5" s="1"/>
      <c r="BK5" s="1"/>
    </row>
    <row r="6" spans="1:67" x14ac:dyDescent="0.25">
      <c r="A6" s="6" t="str">
        <f t="shared" si="0"/>
        <v>B41B Production Wellhead2</v>
      </c>
      <c r="B6" s="1" t="s">
        <v>130</v>
      </c>
      <c r="C6" s="1">
        <v>2</v>
      </c>
      <c r="D6" s="1" t="s">
        <v>125</v>
      </c>
      <c r="E6" s="1" t="s">
        <v>59</v>
      </c>
      <c r="F6" s="1" t="s">
        <v>131</v>
      </c>
      <c r="G6" s="1" t="s">
        <v>64</v>
      </c>
      <c r="H6" s="2" t="s">
        <v>132</v>
      </c>
      <c r="I6" s="1">
        <v>50</v>
      </c>
      <c r="J6" s="1">
        <v>60.3</v>
      </c>
      <c r="K6" s="1">
        <v>11.07</v>
      </c>
      <c r="L6" s="2">
        <v>8.1999999999999993</v>
      </c>
      <c r="M6" s="2">
        <v>2.87</v>
      </c>
      <c r="N6" s="2"/>
      <c r="O6" s="2">
        <v>25.92</v>
      </c>
      <c r="P6" s="2" t="s">
        <v>133</v>
      </c>
      <c r="Q6" s="2">
        <v>2.14</v>
      </c>
      <c r="R6" s="2">
        <v>0.11</v>
      </c>
      <c r="S6" s="1"/>
      <c r="T6" s="2">
        <v>2</v>
      </c>
      <c r="U6" s="1">
        <v>1</v>
      </c>
      <c r="V6" s="1"/>
      <c r="W6" s="1" t="s">
        <v>110</v>
      </c>
      <c r="X6" s="1" t="s">
        <v>65</v>
      </c>
      <c r="Y6" s="1" t="s">
        <v>66</v>
      </c>
      <c r="Z6" s="2">
        <v>52.74</v>
      </c>
      <c r="AA6" s="2">
        <v>3.03</v>
      </c>
      <c r="AB6" s="2">
        <v>3.76</v>
      </c>
      <c r="AC6" s="2"/>
      <c r="AD6" s="1">
        <v>25</v>
      </c>
      <c r="AE6" s="2">
        <v>2.11</v>
      </c>
      <c r="AF6" s="2">
        <v>0.15</v>
      </c>
      <c r="AG6" s="2">
        <v>5</v>
      </c>
      <c r="AH6" s="2">
        <v>1</v>
      </c>
      <c r="AI6" s="2" t="s">
        <v>111</v>
      </c>
      <c r="AJ6" s="2" t="s">
        <v>63</v>
      </c>
      <c r="AK6" s="1">
        <v>0</v>
      </c>
      <c r="AL6" s="1">
        <v>0</v>
      </c>
      <c r="AM6" s="1">
        <v>0</v>
      </c>
      <c r="AN6" s="2">
        <v>0</v>
      </c>
      <c r="AO6" s="2" t="s">
        <v>60</v>
      </c>
      <c r="AP6" s="2">
        <v>0.5</v>
      </c>
      <c r="AQ6" s="2">
        <v>0.2</v>
      </c>
      <c r="AR6" s="2">
        <v>26.37</v>
      </c>
      <c r="AS6" s="2">
        <v>0.75</v>
      </c>
      <c r="AT6" s="2">
        <v>0</v>
      </c>
      <c r="AU6" s="1"/>
      <c r="AV6" s="1" t="s">
        <v>59</v>
      </c>
      <c r="AW6" s="1"/>
      <c r="AX6" s="1" t="s">
        <v>61</v>
      </c>
      <c r="AY6" s="1"/>
      <c r="AZ6" s="2">
        <v>5.58</v>
      </c>
      <c r="BA6" s="2">
        <v>2.14</v>
      </c>
      <c r="BB6" s="2">
        <v>1.8</v>
      </c>
      <c r="BC6" s="2" t="s">
        <v>62</v>
      </c>
      <c r="BD6" s="2" t="s">
        <v>134</v>
      </c>
      <c r="BE6" s="1"/>
      <c r="BF6" s="2">
        <v>0.11491333918385258</v>
      </c>
      <c r="BG6" s="2" t="s">
        <v>113</v>
      </c>
      <c r="BH6" s="2">
        <v>3.0299999713897705</v>
      </c>
      <c r="BI6" s="1"/>
      <c r="BJ6" s="1"/>
      <c r="BK6" s="1"/>
    </row>
    <row r="7" spans="1:67" x14ac:dyDescent="0.25">
      <c r="A7" s="6" t="str">
        <f t="shared" si="0"/>
        <v>E23 Production Wellhead9</v>
      </c>
      <c r="B7" s="1" t="s">
        <v>135</v>
      </c>
      <c r="C7" s="1">
        <v>9</v>
      </c>
      <c r="D7" s="1" t="s">
        <v>136</v>
      </c>
      <c r="E7" s="1" t="s">
        <v>59</v>
      </c>
      <c r="F7" s="1" t="s">
        <v>137</v>
      </c>
      <c r="G7" s="1" t="s">
        <v>64</v>
      </c>
      <c r="H7" s="2" t="s">
        <v>138</v>
      </c>
      <c r="I7" s="1">
        <v>50</v>
      </c>
      <c r="J7" s="1">
        <v>60.3</v>
      </c>
      <c r="K7" s="1">
        <v>11.07</v>
      </c>
      <c r="L7" s="2">
        <v>8.4</v>
      </c>
      <c r="M7" s="2">
        <v>2.67</v>
      </c>
      <c r="N7" s="2"/>
      <c r="O7" s="2">
        <v>24.11</v>
      </c>
      <c r="P7" s="2" t="s">
        <v>139</v>
      </c>
      <c r="Q7" s="2">
        <v>2.14</v>
      </c>
      <c r="R7" s="2">
        <v>0.1</v>
      </c>
      <c r="S7" s="1"/>
      <c r="T7" s="2">
        <v>2</v>
      </c>
      <c r="U7" s="1">
        <v>1</v>
      </c>
      <c r="V7" s="1"/>
      <c r="W7" s="1" t="s">
        <v>110</v>
      </c>
      <c r="X7" s="1" t="s">
        <v>65</v>
      </c>
      <c r="Y7" s="1" t="s">
        <v>66</v>
      </c>
      <c r="Z7" s="2">
        <v>58.88</v>
      </c>
      <c r="AA7" s="2">
        <v>3.13</v>
      </c>
      <c r="AB7" s="2">
        <v>4.0999999999999996</v>
      </c>
      <c r="AC7" s="2"/>
      <c r="AD7" s="1">
        <v>25</v>
      </c>
      <c r="AE7" s="2">
        <v>2.36</v>
      </c>
      <c r="AF7" s="2">
        <v>0.16</v>
      </c>
      <c r="AG7" s="2">
        <v>5</v>
      </c>
      <c r="AH7" s="2">
        <v>1</v>
      </c>
      <c r="AI7" s="2" t="s">
        <v>111</v>
      </c>
      <c r="AJ7" s="2" t="s">
        <v>63</v>
      </c>
      <c r="AK7" s="1">
        <v>0</v>
      </c>
      <c r="AL7" s="1">
        <v>0</v>
      </c>
      <c r="AM7" s="1">
        <v>0</v>
      </c>
      <c r="AN7" s="2">
        <v>0</v>
      </c>
      <c r="AO7" s="2" t="s">
        <v>60</v>
      </c>
      <c r="AP7" s="2">
        <v>0.5</v>
      </c>
      <c r="AQ7" s="2">
        <v>0.2</v>
      </c>
      <c r="AR7" s="2">
        <v>29.44</v>
      </c>
      <c r="AS7" s="2">
        <v>0.82</v>
      </c>
      <c r="AT7" s="2">
        <v>0</v>
      </c>
      <c r="AU7" s="1"/>
      <c r="AV7" s="1" t="s">
        <v>59</v>
      </c>
      <c r="AW7" s="1"/>
      <c r="AX7" s="1" t="s">
        <v>61</v>
      </c>
      <c r="AY7" s="1"/>
      <c r="AZ7" s="2">
        <v>5.58</v>
      </c>
      <c r="BA7" s="2">
        <v>2.14</v>
      </c>
      <c r="BB7" s="2">
        <v>1.8</v>
      </c>
      <c r="BC7" s="2" t="s">
        <v>62</v>
      </c>
      <c r="BD7" s="2" t="s">
        <v>140</v>
      </c>
      <c r="BE7" s="1"/>
      <c r="BF7" s="2">
        <v>0.10632227798385337</v>
      </c>
      <c r="BG7" s="2" t="s">
        <v>113</v>
      </c>
      <c r="BH7" s="2">
        <v>3.130000114440918</v>
      </c>
      <c r="BI7" s="1"/>
      <c r="BJ7" s="1"/>
      <c r="BK7" s="1"/>
    </row>
    <row r="8" spans="1:67" x14ac:dyDescent="0.25">
      <c r="A8" s="6" t="str">
        <f t="shared" si="0"/>
        <v>E23 Production Wellhead10</v>
      </c>
      <c r="B8" s="1" t="s">
        <v>135</v>
      </c>
      <c r="C8" s="1">
        <v>10</v>
      </c>
      <c r="D8" s="1" t="s">
        <v>141</v>
      </c>
      <c r="E8" s="1" t="s">
        <v>59</v>
      </c>
      <c r="F8" s="1" t="s">
        <v>142</v>
      </c>
      <c r="G8" s="1" t="s">
        <v>64</v>
      </c>
      <c r="H8" s="2" t="s">
        <v>138</v>
      </c>
      <c r="I8" s="1">
        <v>50</v>
      </c>
      <c r="J8" s="1">
        <v>60.3</v>
      </c>
      <c r="K8" s="1">
        <v>11.07</v>
      </c>
      <c r="L8" s="2">
        <v>9</v>
      </c>
      <c r="M8" s="2">
        <v>2.0699999999999998</v>
      </c>
      <c r="N8" s="2"/>
      <c r="O8" s="2">
        <v>18.690000000000001</v>
      </c>
      <c r="P8" s="2" t="s">
        <v>143</v>
      </c>
      <c r="Q8" s="2">
        <v>2.14</v>
      </c>
      <c r="R8" s="2">
        <v>0.08</v>
      </c>
      <c r="S8" s="1"/>
      <c r="T8" s="2">
        <v>2</v>
      </c>
      <c r="U8" s="1">
        <v>1</v>
      </c>
      <c r="V8" s="1"/>
      <c r="W8" s="1" t="s">
        <v>110</v>
      </c>
      <c r="X8" s="1" t="s">
        <v>65</v>
      </c>
      <c r="Y8" s="1" t="s">
        <v>66</v>
      </c>
      <c r="Z8" s="2">
        <v>83.22</v>
      </c>
      <c r="AA8" s="2">
        <v>3.43</v>
      </c>
      <c r="AB8" s="2">
        <v>4.7</v>
      </c>
      <c r="AC8" s="2"/>
      <c r="AD8" s="1">
        <v>25</v>
      </c>
      <c r="AE8" s="2">
        <v>3.33</v>
      </c>
      <c r="AF8" s="2">
        <v>0.19</v>
      </c>
      <c r="AG8" s="2">
        <v>5</v>
      </c>
      <c r="AH8" s="2">
        <v>1</v>
      </c>
      <c r="AI8" s="2" t="s">
        <v>111</v>
      </c>
      <c r="AJ8" s="2" t="s">
        <v>63</v>
      </c>
      <c r="AK8" s="1">
        <v>0</v>
      </c>
      <c r="AL8" s="1">
        <v>0</v>
      </c>
      <c r="AM8" s="1">
        <v>0</v>
      </c>
      <c r="AN8" s="2">
        <v>0</v>
      </c>
      <c r="AO8" s="2" t="s">
        <v>60</v>
      </c>
      <c r="AP8" s="2">
        <v>0.5</v>
      </c>
      <c r="AQ8" s="2">
        <v>0.2</v>
      </c>
      <c r="AR8" s="2">
        <v>41.61</v>
      </c>
      <c r="AS8" s="2">
        <v>0.94</v>
      </c>
      <c r="AT8" s="2">
        <v>0</v>
      </c>
      <c r="AU8" s="1"/>
      <c r="AV8" s="1" t="s">
        <v>59</v>
      </c>
      <c r="AW8" s="1"/>
      <c r="AX8" s="1" t="s">
        <v>61</v>
      </c>
      <c r="AY8" s="1"/>
      <c r="AZ8" s="2">
        <v>5.58</v>
      </c>
      <c r="BA8" s="2">
        <v>2.14</v>
      </c>
      <c r="BB8" s="2">
        <v>1.8</v>
      </c>
      <c r="BC8" s="2" t="s">
        <v>62</v>
      </c>
      <c r="BD8" s="2" t="s">
        <v>144</v>
      </c>
      <c r="BE8" s="1"/>
      <c r="BF8" s="2">
        <v>8.2429631245908783E-2</v>
      </c>
      <c r="BG8" s="2" t="s">
        <v>113</v>
      </c>
      <c r="BH8" s="2">
        <v>3.4300000667572021</v>
      </c>
      <c r="BI8" s="1"/>
      <c r="BJ8" s="1"/>
      <c r="BK8" s="1"/>
    </row>
    <row r="9" spans="1:67" x14ac:dyDescent="0.25">
      <c r="A9" s="6" t="str">
        <f t="shared" si="0"/>
        <v>F21A Production Wellhead2</v>
      </c>
      <c r="B9" s="1" t="s">
        <v>145</v>
      </c>
      <c r="C9" s="1">
        <v>2</v>
      </c>
      <c r="D9" s="1" t="s">
        <v>125</v>
      </c>
      <c r="E9" s="1" t="s">
        <v>59</v>
      </c>
      <c r="F9" s="1" t="s">
        <v>146</v>
      </c>
      <c r="G9" s="1" t="s">
        <v>64</v>
      </c>
      <c r="H9" s="2" t="s">
        <v>147</v>
      </c>
      <c r="I9" s="1">
        <v>50</v>
      </c>
      <c r="J9" s="1">
        <v>60.3</v>
      </c>
      <c r="K9" s="1">
        <v>11.07</v>
      </c>
      <c r="L9" s="2">
        <v>8.9</v>
      </c>
      <c r="M9" s="2">
        <v>2.17</v>
      </c>
      <c r="N9" s="2"/>
      <c r="O9" s="2">
        <v>19.600000000000001</v>
      </c>
      <c r="P9" s="2" t="s">
        <v>148</v>
      </c>
      <c r="Q9" s="2">
        <v>2.14</v>
      </c>
      <c r="R9" s="2">
        <v>0.08</v>
      </c>
      <c r="S9" s="1"/>
      <c r="T9" s="2">
        <v>2</v>
      </c>
      <c r="U9" s="1">
        <v>1</v>
      </c>
      <c r="V9" s="1"/>
      <c r="W9" s="1" t="s">
        <v>110</v>
      </c>
      <c r="X9" s="1" t="s">
        <v>65</v>
      </c>
      <c r="Y9" s="1" t="s">
        <v>66</v>
      </c>
      <c r="Z9" s="2">
        <v>77.81</v>
      </c>
      <c r="AA9" s="2">
        <v>3.38</v>
      </c>
      <c r="AB9" s="2">
        <v>4.46</v>
      </c>
      <c r="AC9" s="2"/>
      <c r="AD9" s="1">
        <v>25</v>
      </c>
      <c r="AE9" s="2">
        <v>3.11</v>
      </c>
      <c r="AF9" s="2">
        <v>0.18</v>
      </c>
      <c r="AG9" s="2">
        <v>5</v>
      </c>
      <c r="AH9" s="2">
        <v>1</v>
      </c>
      <c r="AI9" s="2" t="s">
        <v>111</v>
      </c>
      <c r="AJ9" s="2" t="s">
        <v>63</v>
      </c>
      <c r="AK9" s="1">
        <v>0</v>
      </c>
      <c r="AL9" s="1">
        <v>0</v>
      </c>
      <c r="AM9" s="1">
        <v>0</v>
      </c>
      <c r="AN9" s="2">
        <v>0</v>
      </c>
      <c r="AO9" s="2" t="s">
        <v>60</v>
      </c>
      <c r="AP9" s="2">
        <v>0.5</v>
      </c>
      <c r="AQ9" s="2">
        <v>0.2</v>
      </c>
      <c r="AR9" s="2">
        <v>38.909999999999997</v>
      </c>
      <c r="AS9" s="2">
        <v>0.89</v>
      </c>
      <c r="AT9" s="2">
        <v>0</v>
      </c>
      <c r="AU9" s="1"/>
      <c r="AV9" s="1" t="s">
        <v>59</v>
      </c>
      <c r="AW9" s="1"/>
      <c r="AX9" s="1" t="s">
        <v>61</v>
      </c>
      <c r="AY9" s="1"/>
      <c r="AZ9" s="2">
        <v>5.58</v>
      </c>
      <c r="BA9" s="2">
        <v>2.14</v>
      </c>
      <c r="BB9" s="2">
        <v>1.8</v>
      </c>
      <c r="BC9" s="2" t="s">
        <v>62</v>
      </c>
      <c r="BD9" s="2" t="s">
        <v>129</v>
      </c>
      <c r="BE9" s="1"/>
      <c r="BF9" s="2">
        <v>8.6876165405286823E-2</v>
      </c>
      <c r="BG9" s="2" t="s">
        <v>113</v>
      </c>
      <c r="BH9" s="2">
        <v>3.380000114440918</v>
      </c>
      <c r="BI9" s="1"/>
      <c r="BJ9" s="1"/>
      <c r="BK9" s="1"/>
    </row>
    <row r="10" spans="1:67" x14ac:dyDescent="0.25">
      <c r="A10" s="6" t="str">
        <f t="shared" si="0"/>
        <v>F42 Production Wellhead3</v>
      </c>
      <c r="B10" s="1" t="s">
        <v>149</v>
      </c>
      <c r="C10" s="1">
        <v>3</v>
      </c>
      <c r="D10" s="1" t="s">
        <v>150</v>
      </c>
      <c r="E10" s="1" t="s">
        <v>59</v>
      </c>
      <c r="F10" s="1" t="s">
        <v>151</v>
      </c>
      <c r="G10" s="1" t="s">
        <v>64</v>
      </c>
      <c r="H10" s="2" t="s">
        <v>152</v>
      </c>
      <c r="I10" s="1">
        <v>50</v>
      </c>
      <c r="J10" s="1">
        <v>60.3</v>
      </c>
      <c r="K10" s="1">
        <v>11.07</v>
      </c>
      <c r="L10" s="2">
        <v>8.9</v>
      </c>
      <c r="M10" s="2">
        <v>2.17</v>
      </c>
      <c r="N10" s="2"/>
      <c r="O10" s="2">
        <v>19.600000000000001</v>
      </c>
      <c r="P10" s="2" t="s">
        <v>153</v>
      </c>
      <c r="Q10" s="2">
        <v>2.14</v>
      </c>
      <c r="R10" s="2">
        <v>0.08</v>
      </c>
      <c r="S10" s="1"/>
      <c r="T10" s="2">
        <v>2</v>
      </c>
      <c r="U10" s="1">
        <v>1</v>
      </c>
      <c r="V10" s="1"/>
      <c r="W10" s="1" t="s">
        <v>110</v>
      </c>
      <c r="X10" s="1" t="s">
        <v>65</v>
      </c>
      <c r="Y10" s="1" t="s">
        <v>66</v>
      </c>
      <c r="Z10" s="2">
        <v>78.010000000000005</v>
      </c>
      <c r="AA10" s="2">
        <v>3.38</v>
      </c>
      <c r="AB10" s="2">
        <v>4.5199999999999996</v>
      </c>
      <c r="AC10" s="2"/>
      <c r="AD10" s="1">
        <v>25</v>
      </c>
      <c r="AE10" s="2">
        <v>3.12</v>
      </c>
      <c r="AF10" s="2">
        <v>0.18</v>
      </c>
      <c r="AG10" s="2">
        <v>5</v>
      </c>
      <c r="AH10" s="2">
        <v>1</v>
      </c>
      <c r="AI10" s="2" t="s">
        <v>111</v>
      </c>
      <c r="AJ10" s="2" t="s">
        <v>63</v>
      </c>
      <c r="AK10" s="1">
        <v>0</v>
      </c>
      <c r="AL10" s="1">
        <v>0</v>
      </c>
      <c r="AM10" s="1">
        <v>0</v>
      </c>
      <c r="AN10" s="2">
        <v>0</v>
      </c>
      <c r="AO10" s="2" t="s">
        <v>60</v>
      </c>
      <c r="AP10" s="2">
        <v>0.5</v>
      </c>
      <c r="AQ10" s="2">
        <v>0.2</v>
      </c>
      <c r="AR10" s="2">
        <v>39.01</v>
      </c>
      <c r="AS10" s="2">
        <v>0.9</v>
      </c>
      <c r="AT10" s="2">
        <v>0</v>
      </c>
      <c r="AU10" s="1"/>
      <c r="AV10" s="1" t="s">
        <v>59</v>
      </c>
      <c r="AW10" s="1"/>
      <c r="AX10" s="1" t="s">
        <v>61</v>
      </c>
      <c r="AY10" s="1"/>
      <c r="AZ10" s="2">
        <v>5.58</v>
      </c>
      <c r="BA10" s="2">
        <v>2.14</v>
      </c>
      <c r="BB10" s="2">
        <v>1.8</v>
      </c>
      <c r="BC10" s="2" t="s">
        <v>62</v>
      </c>
      <c r="BD10" s="2" t="s">
        <v>154</v>
      </c>
      <c r="BE10" s="1"/>
      <c r="BF10" s="2">
        <v>8.665754923413567E-2</v>
      </c>
      <c r="BG10" s="2" t="s">
        <v>113</v>
      </c>
      <c r="BH10" s="2">
        <v>3.380000114440918</v>
      </c>
      <c r="BI10" s="1"/>
      <c r="BJ10" s="1"/>
      <c r="BK10" s="1"/>
      <c r="BN10" s="12"/>
    </row>
    <row r="11" spans="1:67" x14ac:dyDescent="0.25">
      <c r="A11" s="6" t="str">
        <f t="shared" si="0"/>
        <v>F43A Production Wellhead2</v>
      </c>
      <c r="B11" s="1" t="s">
        <v>155</v>
      </c>
      <c r="C11" s="1">
        <v>2</v>
      </c>
      <c r="D11" s="1" t="s">
        <v>125</v>
      </c>
      <c r="E11" s="1" t="s">
        <v>59</v>
      </c>
      <c r="F11" s="1" t="s">
        <v>156</v>
      </c>
      <c r="G11" s="1" t="s">
        <v>64</v>
      </c>
      <c r="H11" s="2" t="s">
        <v>157</v>
      </c>
      <c r="I11" s="1">
        <v>50</v>
      </c>
      <c r="J11" s="1">
        <v>60.3</v>
      </c>
      <c r="K11" s="1">
        <v>11.07</v>
      </c>
      <c r="L11" s="2">
        <v>8.9</v>
      </c>
      <c r="M11" s="2">
        <v>2.17</v>
      </c>
      <c r="N11" s="2"/>
      <c r="O11" s="2">
        <v>19.600000000000001</v>
      </c>
      <c r="P11" s="2" t="s">
        <v>158</v>
      </c>
      <c r="Q11" s="2">
        <v>2.14</v>
      </c>
      <c r="R11" s="2">
        <v>0.08</v>
      </c>
      <c r="S11" s="1"/>
      <c r="T11" s="2">
        <v>2</v>
      </c>
      <c r="U11" s="1">
        <v>1</v>
      </c>
      <c r="V11" s="1"/>
      <c r="W11" s="1" t="s">
        <v>110</v>
      </c>
      <c r="X11" s="1" t="s">
        <v>65</v>
      </c>
      <c r="Y11" s="1" t="s">
        <v>66</v>
      </c>
      <c r="Z11" s="2">
        <v>78</v>
      </c>
      <c r="AA11" s="2">
        <v>3.38</v>
      </c>
      <c r="AB11" s="2">
        <v>4.5199999999999996</v>
      </c>
      <c r="AC11" s="2"/>
      <c r="AD11" s="1">
        <v>25</v>
      </c>
      <c r="AE11" s="2">
        <v>3.12</v>
      </c>
      <c r="AF11" s="2">
        <v>0.18</v>
      </c>
      <c r="AG11" s="2">
        <v>5</v>
      </c>
      <c r="AH11" s="2">
        <v>1</v>
      </c>
      <c r="AI11" s="2" t="s">
        <v>111</v>
      </c>
      <c r="AJ11" s="2" t="s">
        <v>63</v>
      </c>
      <c r="AK11" s="1">
        <v>0</v>
      </c>
      <c r="AL11" s="1">
        <v>0</v>
      </c>
      <c r="AM11" s="1">
        <v>0</v>
      </c>
      <c r="AN11" s="2">
        <v>0</v>
      </c>
      <c r="AO11" s="2" t="s">
        <v>60</v>
      </c>
      <c r="AP11" s="2">
        <v>0.5</v>
      </c>
      <c r="AQ11" s="2">
        <v>0.2</v>
      </c>
      <c r="AR11" s="2">
        <v>39</v>
      </c>
      <c r="AS11" s="2">
        <v>0.9</v>
      </c>
      <c r="AT11" s="2">
        <v>0</v>
      </c>
      <c r="AU11" s="1"/>
      <c r="AV11" s="1" t="s">
        <v>59</v>
      </c>
      <c r="AW11" s="1"/>
      <c r="AX11" s="1" t="s">
        <v>61</v>
      </c>
      <c r="AY11" s="1"/>
      <c r="AZ11" s="2">
        <v>5.58</v>
      </c>
      <c r="BA11" s="2">
        <v>2.14</v>
      </c>
      <c r="BB11" s="2">
        <v>1.8</v>
      </c>
      <c r="BC11" s="2" t="s">
        <v>62</v>
      </c>
      <c r="BD11" s="2" t="s">
        <v>154</v>
      </c>
      <c r="BE11" s="1"/>
      <c r="BF11" s="2">
        <v>8.666703140387351E-2</v>
      </c>
      <c r="BG11" s="2" t="s">
        <v>113</v>
      </c>
      <c r="BH11" s="2">
        <v>3.380000114440918</v>
      </c>
      <c r="BI11" s="1"/>
      <c r="BJ11" s="1"/>
      <c r="BK11" s="1"/>
    </row>
    <row r="12" spans="1:67" x14ac:dyDescent="0.25">
      <c r="A12" s="6" t="str">
        <f t="shared" si="0"/>
        <v>F44 Production Wellhead1</v>
      </c>
      <c r="B12" s="1" t="s">
        <v>159</v>
      </c>
      <c r="C12" s="1">
        <v>1</v>
      </c>
      <c r="D12" s="1" t="s">
        <v>106</v>
      </c>
      <c r="E12" s="1" t="s">
        <v>59</v>
      </c>
      <c r="F12" s="1" t="s">
        <v>160</v>
      </c>
      <c r="G12" s="1" t="s">
        <v>64</v>
      </c>
      <c r="H12" s="2" t="s">
        <v>161</v>
      </c>
      <c r="I12" s="1">
        <v>50</v>
      </c>
      <c r="J12" s="1">
        <v>60.3</v>
      </c>
      <c r="K12" s="1">
        <v>11.07</v>
      </c>
      <c r="L12" s="2">
        <v>8.5</v>
      </c>
      <c r="M12" s="2">
        <v>2.57</v>
      </c>
      <c r="N12" s="2"/>
      <c r="O12" s="2">
        <v>23.21</v>
      </c>
      <c r="P12" s="2" t="s">
        <v>162</v>
      </c>
      <c r="Q12" s="2">
        <v>2.14</v>
      </c>
      <c r="R12" s="2">
        <v>0.1</v>
      </c>
      <c r="S12" s="1"/>
      <c r="T12" s="2">
        <v>2</v>
      </c>
      <c r="U12" s="1">
        <v>1</v>
      </c>
      <c r="V12" s="1"/>
      <c r="W12" s="1" t="s">
        <v>110</v>
      </c>
      <c r="X12" s="1" t="s">
        <v>65</v>
      </c>
      <c r="Y12" s="1" t="s">
        <v>66</v>
      </c>
      <c r="Z12" s="2">
        <v>61.83</v>
      </c>
      <c r="AA12" s="2">
        <v>3.18</v>
      </c>
      <c r="AB12" s="2">
        <v>4.07</v>
      </c>
      <c r="AC12" s="2"/>
      <c r="AD12" s="1">
        <v>25</v>
      </c>
      <c r="AE12" s="2">
        <v>2.4700000000000002</v>
      </c>
      <c r="AF12" s="2">
        <v>0.16</v>
      </c>
      <c r="AG12" s="2">
        <v>5</v>
      </c>
      <c r="AH12" s="2">
        <v>1</v>
      </c>
      <c r="AI12" s="2" t="s">
        <v>111</v>
      </c>
      <c r="AJ12" s="2" t="s">
        <v>63</v>
      </c>
      <c r="AK12" s="1">
        <v>0</v>
      </c>
      <c r="AL12" s="1">
        <v>0</v>
      </c>
      <c r="AM12" s="1">
        <v>0</v>
      </c>
      <c r="AN12" s="2">
        <v>0</v>
      </c>
      <c r="AO12" s="2" t="s">
        <v>60</v>
      </c>
      <c r="AP12" s="2">
        <v>0.5</v>
      </c>
      <c r="AQ12" s="2">
        <v>0.2</v>
      </c>
      <c r="AR12" s="2">
        <v>30.91</v>
      </c>
      <c r="AS12" s="2">
        <v>0.81</v>
      </c>
      <c r="AT12" s="2">
        <v>0</v>
      </c>
      <c r="AU12" s="1"/>
      <c r="AV12" s="1" t="s">
        <v>59</v>
      </c>
      <c r="AW12" s="1"/>
      <c r="AX12" s="1" t="s">
        <v>61</v>
      </c>
      <c r="AY12" s="1"/>
      <c r="AZ12" s="2">
        <v>5.58</v>
      </c>
      <c r="BA12" s="2">
        <v>2.14</v>
      </c>
      <c r="BB12" s="2">
        <v>1.8</v>
      </c>
      <c r="BC12" s="2" t="s">
        <v>62</v>
      </c>
      <c r="BD12" s="2" t="s">
        <v>163</v>
      </c>
      <c r="BE12" s="1"/>
      <c r="BF12" s="2">
        <v>0.10285635964912281</v>
      </c>
      <c r="BG12" s="2" t="s">
        <v>113</v>
      </c>
      <c r="BH12" s="2">
        <v>3.1800000667572021</v>
      </c>
      <c r="BI12" s="40"/>
      <c r="BJ12" s="40"/>
      <c r="BK12" s="40"/>
    </row>
    <row r="13" spans="1:67" x14ac:dyDescent="0.25">
      <c r="A13" s="6" t="str">
        <f t="shared" si="0"/>
        <v>F44M Production Wellhead2</v>
      </c>
      <c r="B13" s="1" t="s">
        <v>164</v>
      </c>
      <c r="C13" s="1">
        <v>2</v>
      </c>
      <c r="D13" s="1" t="s">
        <v>106</v>
      </c>
      <c r="E13" s="1" t="s">
        <v>59</v>
      </c>
      <c r="F13" s="1" t="s">
        <v>165</v>
      </c>
      <c r="G13" s="1" t="s">
        <v>64</v>
      </c>
      <c r="H13" s="2" t="s">
        <v>166</v>
      </c>
      <c r="I13" s="1">
        <v>50</v>
      </c>
      <c r="J13" s="1">
        <v>60.3</v>
      </c>
      <c r="K13" s="1">
        <v>11.07</v>
      </c>
      <c r="L13" s="2">
        <v>8.6999999999999993</v>
      </c>
      <c r="M13" s="2">
        <v>2.37</v>
      </c>
      <c r="N13" s="2"/>
      <c r="O13" s="2">
        <v>21.4</v>
      </c>
      <c r="P13" s="2" t="s">
        <v>167</v>
      </c>
      <c r="Q13" s="2">
        <v>2.14</v>
      </c>
      <c r="R13" s="2">
        <v>0.09</v>
      </c>
      <c r="S13" s="1"/>
      <c r="T13" s="2">
        <v>2</v>
      </c>
      <c r="U13" s="1">
        <v>1</v>
      </c>
      <c r="V13" s="1"/>
      <c r="W13" s="1" t="s">
        <v>110</v>
      </c>
      <c r="X13" s="1" t="s">
        <v>65</v>
      </c>
      <c r="Y13" s="1" t="s">
        <v>66</v>
      </c>
      <c r="Z13" s="2">
        <v>69.290000000000006</v>
      </c>
      <c r="AA13" s="2">
        <v>3.28</v>
      </c>
      <c r="AB13" s="2">
        <v>4.32</v>
      </c>
      <c r="AC13" s="2"/>
      <c r="AD13" s="1">
        <v>25</v>
      </c>
      <c r="AE13" s="2">
        <v>2.77</v>
      </c>
      <c r="AF13" s="2">
        <v>0.17</v>
      </c>
      <c r="AG13" s="2">
        <v>5</v>
      </c>
      <c r="AH13" s="2">
        <v>1</v>
      </c>
      <c r="AI13" s="2" t="s">
        <v>111</v>
      </c>
      <c r="AJ13" s="2" t="s">
        <v>63</v>
      </c>
      <c r="AK13" s="1">
        <v>0</v>
      </c>
      <c r="AL13" s="1">
        <v>0</v>
      </c>
      <c r="AM13" s="1">
        <v>0</v>
      </c>
      <c r="AN13" s="2">
        <v>0</v>
      </c>
      <c r="AO13" s="2" t="s">
        <v>60</v>
      </c>
      <c r="AP13" s="2">
        <v>0.5</v>
      </c>
      <c r="AQ13" s="2">
        <v>0.2</v>
      </c>
      <c r="AR13" s="2">
        <v>34.65</v>
      </c>
      <c r="AS13" s="2">
        <v>0.86</v>
      </c>
      <c r="AT13" s="2">
        <v>0</v>
      </c>
      <c r="AU13" s="1"/>
      <c r="AV13" s="1" t="s">
        <v>59</v>
      </c>
      <c r="AW13" s="1"/>
      <c r="AX13" s="1" t="s">
        <v>61</v>
      </c>
      <c r="AY13" s="1"/>
      <c r="AZ13" s="2">
        <v>5.58</v>
      </c>
      <c r="BA13" s="2">
        <v>2.14</v>
      </c>
      <c r="BB13" s="2">
        <v>1.8</v>
      </c>
      <c r="BC13" s="2" t="s">
        <v>62</v>
      </c>
      <c r="BD13" s="2" t="s">
        <v>168</v>
      </c>
      <c r="BE13" s="1"/>
      <c r="BF13" s="2">
        <v>9.4675495239137569E-2</v>
      </c>
      <c r="BG13" s="2" t="s">
        <v>113</v>
      </c>
      <c r="BH13" s="2">
        <v>3.2799999713897705</v>
      </c>
      <c r="BI13" s="1"/>
      <c r="BJ13" s="1"/>
      <c r="BK13" s="1"/>
    </row>
    <row r="14" spans="1:67" x14ac:dyDescent="0.25">
      <c r="A14" s="6" t="str">
        <f t="shared" si="0"/>
        <v>F44M Production Wellhead8</v>
      </c>
      <c r="B14" s="1" t="s">
        <v>164</v>
      </c>
      <c r="C14" s="1">
        <v>8</v>
      </c>
      <c r="D14" s="1" t="s">
        <v>125</v>
      </c>
      <c r="E14" s="1" t="s">
        <v>59</v>
      </c>
      <c r="F14" s="1" t="s">
        <v>169</v>
      </c>
      <c r="G14" s="1" t="s">
        <v>64</v>
      </c>
      <c r="H14" s="2" t="s">
        <v>166</v>
      </c>
      <c r="I14" s="1">
        <v>50</v>
      </c>
      <c r="J14" s="1">
        <v>60.3</v>
      </c>
      <c r="K14" s="1">
        <v>11.07</v>
      </c>
      <c r="L14" s="2">
        <v>8.8000000000000007</v>
      </c>
      <c r="M14" s="2">
        <v>2.27</v>
      </c>
      <c r="N14" s="2"/>
      <c r="O14" s="2">
        <v>20.5</v>
      </c>
      <c r="P14" s="2" t="s">
        <v>170</v>
      </c>
      <c r="Q14" s="2">
        <v>2.14</v>
      </c>
      <c r="R14" s="2">
        <v>0.09</v>
      </c>
      <c r="S14" s="1"/>
      <c r="T14" s="2">
        <v>2</v>
      </c>
      <c r="U14" s="1">
        <v>1</v>
      </c>
      <c r="V14" s="1"/>
      <c r="W14" s="1" t="s">
        <v>110</v>
      </c>
      <c r="X14" s="1" t="s">
        <v>65</v>
      </c>
      <c r="Y14" s="1" t="s">
        <v>66</v>
      </c>
      <c r="Z14" s="2">
        <v>73.44</v>
      </c>
      <c r="AA14" s="2">
        <v>3.33</v>
      </c>
      <c r="AB14" s="2">
        <v>4.42</v>
      </c>
      <c r="AC14" s="2"/>
      <c r="AD14" s="1">
        <v>25</v>
      </c>
      <c r="AE14" s="2">
        <v>2.94</v>
      </c>
      <c r="AF14" s="2">
        <v>0.18</v>
      </c>
      <c r="AG14" s="2">
        <v>5</v>
      </c>
      <c r="AH14" s="2">
        <v>1</v>
      </c>
      <c r="AI14" s="2" t="s">
        <v>111</v>
      </c>
      <c r="AJ14" s="2" t="s">
        <v>63</v>
      </c>
      <c r="AK14" s="1">
        <v>0</v>
      </c>
      <c r="AL14" s="1">
        <v>0</v>
      </c>
      <c r="AM14" s="1">
        <v>0</v>
      </c>
      <c r="AN14" s="2">
        <v>0</v>
      </c>
      <c r="AO14" s="2" t="s">
        <v>60</v>
      </c>
      <c r="AP14" s="2">
        <v>0.5</v>
      </c>
      <c r="AQ14" s="2">
        <v>0.2</v>
      </c>
      <c r="AR14" s="2">
        <v>36.72</v>
      </c>
      <c r="AS14" s="2">
        <v>0.88</v>
      </c>
      <c r="AT14" s="2">
        <v>0</v>
      </c>
      <c r="AU14" s="1"/>
      <c r="AV14" s="1" t="s">
        <v>59</v>
      </c>
      <c r="AW14" s="1"/>
      <c r="AX14" s="1" t="s">
        <v>61</v>
      </c>
      <c r="AY14" s="1"/>
      <c r="AZ14" s="2">
        <v>5.58</v>
      </c>
      <c r="BA14" s="2">
        <v>2.14</v>
      </c>
      <c r="BB14" s="2">
        <v>1.8</v>
      </c>
      <c r="BC14" s="2" t="s">
        <v>62</v>
      </c>
      <c r="BD14" s="2" t="s">
        <v>171</v>
      </c>
      <c r="BE14" s="1"/>
      <c r="BF14" s="2">
        <v>9.0680748604574798E-2</v>
      </c>
      <c r="BG14" s="2" t="s">
        <v>113</v>
      </c>
      <c r="BH14" s="2">
        <v>3.3299999237060547</v>
      </c>
      <c r="BI14" s="1"/>
      <c r="BJ14" s="1"/>
      <c r="BK14" s="1"/>
    </row>
    <row r="15" spans="1:67" x14ac:dyDescent="0.25">
      <c r="A15" s="6" t="str">
        <f t="shared" si="0"/>
        <v>F55M Production Wellhead1</v>
      </c>
      <c r="B15" s="1" t="s">
        <v>172</v>
      </c>
      <c r="C15" s="1">
        <v>1</v>
      </c>
      <c r="D15" s="1" t="s">
        <v>106</v>
      </c>
      <c r="E15" s="1" t="s">
        <v>59</v>
      </c>
      <c r="F15" s="1" t="s">
        <v>173</v>
      </c>
      <c r="G15" s="1" t="s">
        <v>64</v>
      </c>
      <c r="H15" s="2" t="s">
        <v>174</v>
      </c>
      <c r="I15" s="1">
        <v>50</v>
      </c>
      <c r="J15" s="1">
        <v>60.3</v>
      </c>
      <c r="K15" s="1">
        <v>10.9</v>
      </c>
      <c r="L15" s="2">
        <v>8.8000000000000007</v>
      </c>
      <c r="M15" s="2">
        <v>2.1</v>
      </c>
      <c r="N15" s="2"/>
      <c r="O15" s="2">
        <v>19.260000000000002</v>
      </c>
      <c r="P15" s="2" t="s">
        <v>175</v>
      </c>
      <c r="Q15" s="2">
        <v>2.14</v>
      </c>
      <c r="R15" s="2">
        <v>0.08</v>
      </c>
      <c r="S15" s="1"/>
      <c r="T15" s="2">
        <v>2</v>
      </c>
      <c r="U15" s="1">
        <v>1</v>
      </c>
      <c r="V15" s="1"/>
      <c r="W15" s="1" t="s">
        <v>110</v>
      </c>
      <c r="X15" s="1" t="s">
        <v>65</v>
      </c>
      <c r="Y15" s="1" t="s">
        <v>66</v>
      </c>
      <c r="Z15" s="2">
        <v>80.28</v>
      </c>
      <c r="AA15" s="2">
        <v>3.33</v>
      </c>
      <c r="AB15" s="2">
        <v>4.7</v>
      </c>
      <c r="AC15" s="2"/>
      <c r="AD15" s="1">
        <v>25</v>
      </c>
      <c r="AE15" s="2">
        <v>3.21</v>
      </c>
      <c r="AF15" s="2">
        <v>0.19</v>
      </c>
      <c r="AG15" s="2">
        <v>5</v>
      </c>
      <c r="AH15" s="2">
        <v>1</v>
      </c>
      <c r="AI15" s="2" t="s">
        <v>111</v>
      </c>
      <c r="AJ15" s="2" t="s">
        <v>63</v>
      </c>
      <c r="AK15" s="1">
        <v>0</v>
      </c>
      <c r="AL15" s="1">
        <v>0</v>
      </c>
      <c r="AM15" s="1">
        <v>0</v>
      </c>
      <c r="AN15" s="2">
        <v>0</v>
      </c>
      <c r="AO15" s="2" t="s">
        <v>60</v>
      </c>
      <c r="AP15" s="2">
        <v>0.5</v>
      </c>
      <c r="AQ15" s="2">
        <v>0.2</v>
      </c>
      <c r="AR15" s="2">
        <v>40.14</v>
      </c>
      <c r="AS15" s="2">
        <v>0.94</v>
      </c>
      <c r="AT15" s="2">
        <v>0</v>
      </c>
      <c r="AU15" s="1"/>
      <c r="AV15" s="1" t="s">
        <v>59</v>
      </c>
      <c r="AW15" s="1"/>
      <c r="AX15" s="1" t="s">
        <v>61</v>
      </c>
      <c r="AY15" s="1"/>
      <c r="AZ15" s="2">
        <v>5.58</v>
      </c>
      <c r="BA15" s="2">
        <v>2.14</v>
      </c>
      <c r="BB15" s="2">
        <v>1.8</v>
      </c>
      <c r="BC15" s="2" t="s">
        <v>62</v>
      </c>
      <c r="BD15" s="2" t="s">
        <v>144</v>
      </c>
      <c r="BE15" s="1"/>
      <c r="BF15" s="2">
        <v>8.2954545454545447E-2</v>
      </c>
      <c r="BG15" s="2" t="s">
        <v>113</v>
      </c>
      <c r="BH15" s="2">
        <v>3.3299999237060547</v>
      </c>
      <c r="BI15" s="1"/>
      <c r="BJ15" s="1"/>
      <c r="BK15" s="1"/>
    </row>
    <row r="16" spans="1:67" x14ac:dyDescent="0.25">
      <c r="A16" s="6" t="str">
        <f t="shared" si="0"/>
        <v>F61 Production Wellhead2</v>
      </c>
      <c r="B16" s="1" t="s">
        <v>176</v>
      </c>
      <c r="C16" s="1">
        <v>2</v>
      </c>
      <c r="D16" s="1" t="s">
        <v>106</v>
      </c>
      <c r="E16" s="1" t="s">
        <v>59</v>
      </c>
      <c r="F16" s="1" t="s">
        <v>126</v>
      </c>
      <c r="G16" s="1" t="s">
        <v>64</v>
      </c>
      <c r="H16" s="2" t="s">
        <v>157</v>
      </c>
      <c r="I16" s="1">
        <v>50</v>
      </c>
      <c r="J16" s="1">
        <v>60.3</v>
      </c>
      <c r="K16" s="1">
        <v>11.07</v>
      </c>
      <c r="L16" s="2">
        <v>8.6</v>
      </c>
      <c r="M16" s="2">
        <v>2.4700000000000002</v>
      </c>
      <c r="N16" s="2"/>
      <c r="O16" s="2">
        <v>22.31</v>
      </c>
      <c r="P16" s="2" t="s">
        <v>177</v>
      </c>
      <c r="Q16" s="2">
        <v>2.14</v>
      </c>
      <c r="R16" s="2">
        <v>0.09</v>
      </c>
      <c r="S16" s="1"/>
      <c r="T16" s="2">
        <v>2</v>
      </c>
      <c r="U16" s="1">
        <v>1</v>
      </c>
      <c r="V16" s="1"/>
      <c r="W16" s="1" t="s">
        <v>110</v>
      </c>
      <c r="X16" s="1" t="s">
        <v>65</v>
      </c>
      <c r="Y16" s="1" t="s">
        <v>66</v>
      </c>
      <c r="Z16" s="2">
        <v>65.48</v>
      </c>
      <c r="AA16" s="2">
        <v>3.23</v>
      </c>
      <c r="AB16" s="2">
        <v>4.22</v>
      </c>
      <c r="AC16" s="2"/>
      <c r="AD16" s="1">
        <v>25</v>
      </c>
      <c r="AE16" s="2">
        <v>2.62</v>
      </c>
      <c r="AF16" s="2">
        <v>0.17</v>
      </c>
      <c r="AG16" s="2">
        <v>5</v>
      </c>
      <c r="AH16" s="2">
        <v>1</v>
      </c>
      <c r="AI16" s="2" t="s">
        <v>111</v>
      </c>
      <c r="AJ16" s="2" t="s">
        <v>63</v>
      </c>
      <c r="AK16" s="1">
        <v>0</v>
      </c>
      <c r="AL16" s="1">
        <v>0</v>
      </c>
      <c r="AM16" s="1">
        <v>0</v>
      </c>
      <c r="AN16" s="2">
        <v>0</v>
      </c>
      <c r="AO16" s="2" t="s">
        <v>60</v>
      </c>
      <c r="AP16" s="2">
        <v>0.5</v>
      </c>
      <c r="AQ16" s="2">
        <v>0.2</v>
      </c>
      <c r="AR16" s="2">
        <v>32.74</v>
      </c>
      <c r="AS16" s="2">
        <v>0.84</v>
      </c>
      <c r="AT16" s="2">
        <v>0</v>
      </c>
      <c r="AU16" s="1"/>
      <c r="AV16" s="1" t="s">
        <v>59</v>
      </c>
      <c r="AW16" s="1"/>
      <c r="AX16" s="1" t="s">
        <v>61</v>
      </c>
      <c r="AY16" s="1"/>
      <c r="AZ16" s="2">
        <v>5.58</v>
      </c>
      <c r="BA16" s="2">
        <v>2.14</v>
      </c>
      <c r="BB16" s="2">
        <v>1.8</v>
      </c>
      <c r="BC16" s="2" t="s">
        <v>62</v>
      </c>
      <c r="BD16" s="2" t="s">
        <v>178</v>
      </c>
      <c r="BE16" s="1"/>
      <c r="BF16" s="2">
        <v>9.8648648648648654E-2</v>
      </c>
      <c r="BG16" s="2" t="s">
        <v>113</v>
      </c>
      <c r="BH16" s="2">
        <v>3.2300000190734863</v>
      </c>
      <c r="BI16" s="1"/>
      <c r="BJ16" s="1"/>
      <c r="BK16" s="1"/>
    </row>
    <row r="17" spans="1:63" x14ac:dyDescent="0.25">
      <c r="A17" s="6" t="str">
        <f t="shared" si="0"/>
        <v>F61 Production Wellhead1</v>
      </c>
      <c r="B17" s="1" t="s">
        <v>176</v>
      </c>
      <c r="C17" s="1">
        <v>1</v>
      </c>
      <c r="D17" s="1" t="s">
        <v>125</v>
      </c>
      <c r="E17" s="1" t="s">
        <v>59</v>
      </c>
      <c r="F17" s="1" t="s">
        <v>156</v>
      </c>
      <c r="G17" s="1" t="s">
        <v>64</v>
      </c>
      <c r="H17" s="2" t="s">
        <v>157</v>
      </c>
      <c r="I17" s="1">
        <v>50</v>
      </c>
      <c r="J17" s="1">
        <v>60.3</v>
      </c>
      <c r="K17" s="1">
        <v>11.07</v>
      </c>
      <c r="L17" s="2">
        <v>8.8000000000000007</v>
      </c>
      <c r="M17" s="2">
        <v>2.27</v>
      </c>
      <c r="N17" s="2"/>
      <c r="O17" s="2">
        <v>20.5</v>
      </c>
      <c r="P17" s="2" t="s">
        <v>179</v>
      </c>
      <c r="Q17" s="2">
        <v>2.14</v>
      </c>
      <c r="R17" s="2">
        <v>0.09</v>
      </c>
      <c r="S17" s="1"/>
      <c r="T17" s="2">
        <v>2</v>
      </c>
      <c r="U17" s="1">
        <v>1</v>
      </c>
      <c r="V17" s="1"/>
      <c r="W17" s="1" t="s">
        <v>110</v>
      </c>
      <c r="X17" s="1" t="s">
        <v>65</v>
      </c>
      <c r="Y17" s="1" t="s">
        <v>66</v>
      </c>
      <c r="Z17" s="2">
        <v>73.459999999999994</v>
      </c>
      <c r="AA17" s="2">
        <v>3.33</v>
      </c>
      <c r="AB17" s="2">
        <v>4.42</v>
      </c>
      <c r="AC17" s="2"/>
      <c r="AD17" s="1">
        <v>25</v>
      </c>
      <c r="AE17" s="2">
        <v>2.94</v>
      </c>
      <c r="AF17" s="2">
        <v>0.18</v>
      </c>
      <c r="AG17" s="2">
        <v>5</v>
      </c>
      <c r="AH17" s="2">
        <v>1</v>
      </c>
      <c r="AI17" s="2" t="s">
        <v>111</v>
      </c>
      <c r="AJ17" s="2" t="s">
        <v>63</v>
      </c>
      <c r="AK17" s="1">
        <v>0</v>
      </c>
      <c r="AL17" s="1">
        <v>0</v>
      </c>
      <c r="AM17" s="1">
        <v>0</v>
      </c>
      <c r="AN17" s="2">
        <v>0</v>
      </c>
      <c r="AO17" s="2" t="s">
        <v>60</v>
      </c>
      <c r="AP17" s="2">
        <v>0.5</v>
      </c>
      <c r="AQ17" s="2">
        <v>0.2</v>
      </c>
      <c r="AR17" s="2">
        <v>36.729999999999997</v>
      </c>
      <c r="AS17" s="2">
        <v>0.88</v>
      </c>
      <c r="AT17" s="2">
        <v>0</v>
      </c>
      <c r="AU17" s="1"/>
      <c r="AV17" s="1" t="s">
        <v>59</v>
      </c>
      <c r="AW17" s="1"/>
      <c r="AX17" s="1" t="s">
        <v>61</v>
      </c>
      <c r="AY17" s="1"/>
      <c r="AZ17" s="2">
        <v>5.58</v>
      </c>
      <c r="BA17" s="2">
        <v>2.14</v>
      </c>
      <c r="BB17" s="2">
        <v>1.8</v>
      </c>
      <c r="BC17" s="2" t="s">
        <v>62</v>
      </c>
      <c r="BD17" s="2" t="s">
        <v>171</v>
      </c>
      <c r="BE17" s="1"/>
      <c r="BF17" s="2">
        <v>9.0660903818798558E-2</v>
      </c>
      <c r="BG17" s="2" t="s">
        <v>113</v>
      </c>
      <c r="BH17" s="2">
        <v>3.3299999237060547</v>
      </c>
      <c r="BI17" s="1"/>
      <c r="BJ17" s="1"/>
      <c r="BK17" s="1"/>
    </row>
    <row r="18" spans="1:63" x14ac:dyDescent="0.25">
      <c r="A18" s="6" t="str">
        <f t="shared" si="0"/>
        <v>F71 Production Wellhead4</v>
      </c>
      <c r="B18" s="1" t="s">
        <v>180</v>
      </c>
      <c r="C18" s="1">
        <v>4</v>
      </c>
      <c r="D18" s="1" t="s">
        <v>181</v>
      </c>
      <c r="E18" s="1" t="s">
        <v>59</v>
      </c>
      <c r="F18" s="1" t="s">
        <v>182</v>
      </c>
      <c r="G18" s="1" t="s">
        <v>64</v>
      </c>
      <c r="H18" s="2" t="s">
        <v>183</v>
      </c>
      <c r="I18" s="1">
        <v>50</v>
      </c>
      <c r="J18" s="1">
        <v>60.3</v>
      </c>
      <c r="K18" s="1">
        <v>11.07</v>
      </c>
      <c r="L18" s="2">
        <v>8.1999999999999993</v>
      </c>
      <c r="M18" s="2">
        <v>2.87</v>
      </c>
      <c r="N18" s="2"/>
      <c r="O18" s="2">
        <v>25.92</v>
      </c>
      <c r="P18" s="2" t="s">
        <v>184</v>
      </c>
      <c r="Q18" s="2">
        <v>2.14</v>
      </c>
      <c r="R18" s="2">
        <v>0.11</v>
      </c>
      <c r="S18" s="1"/>
      <c r="T18" s="2">
        <v>2</v>
      </c>
      <c r="U18" s="1">
        <v>1</v>
      </c>
      <c r="V18" s="1"/>
      <c r="W18" s="1" t="s">
        <v>110</v>
      </c>
      <c r="X18" s="1" t="s">
        <v>65</v>
      </c>
      <c r="Y18" s="1" t="s">
        <v>66</v>
      </c>
      <c r="Z18" s="2">
        <v>52.75</v>
      </c>
      <c r="AA18" s="2">
        <v>3.03</v>
      </c>
      <c r="AB18" s="2">
        <v>3.77</v>
      </c>
      <c r="AC18" s="2"/>
      <c r="AD18" s="1">
        <v>25</v>
      </c>
      <c r="AE18" s="2">
        <v>2.11</v>
      </c>
      <c r="AF18" s="2">
        <v>0.15</v>
      </c>
      <c r="AG18" s="2">
        <v>5</v>
      </c>
      <c r="AH18" s="2">
        <v>1</v>
      </c>
      <c r="AI18" s="2" t="s">
        <v>111</v>
      </c>
      <c r="AJ18" s="2" t="s">
        <v>63</v>
      </c>
      <c r="AK18" s="1">
        <v>0</v>
      </c>
      <c r="AL18" s="1">
        <v>0</v>
      </c>
      <c r="AM18" s="1">
        <v>0</v>
      </c>
      <c r="AN18" s="2">
        <v>0</v>
      </c>
      <c r="AO18" s="2" t="s">
        <v>60</v>
      </c>
      <c r="AP18" s="2">
        <v>0.5</v>
      </c>
      <c r="AQ18" s="2">
        <v>0.2</v>
      </c>
      <c r="AR18" s="2">
        <v>26.38</v>
      </c>
      <c r="AS18" s="2">
        <v>0.75</v>
      </c>
      <c r="AT18" s="2">
        <v>0</v>
      </c>
      <c r="AU18" s="1"/>
      <c r="AV18" s="1" t="s">
        <v>59</v>
      </c>
      <c r="AW18" s="1"/>
      <c r="AX18" s="1" t="s">
        <v>61</v>
      </c>
      <c r="AY18" s="1"/>
      <c r="AZ18" s="2">
        <v>5.58</v>
      </c>
      <c r="BA18" s="2">
        <v>2.14</v>
      </c>
      <c r="BB18" s="2">
        <v>1.8</v>
      </c>
      <c r="BC18" s="2" t="s">
        <v>62</v>
      </c>
      <c r="BD18" s="2" t="s">
        <v>185</v>
      </c>
      <c r="BE18" s="1"/>
      <c r="BF18" s="2">
        <v>0.1148755345980919</v>
      </c>
      <c r="BG18" s="2" t="s">
        <v>113</v>
      </c>
      <c r="BH18" s="2">
        <v>3.0299999713897705</v>
      </c>
      <c r="BI18" s="1"/>
      <c r="BJ18" s="1"/>
      <c r="BK18" s="1"/>
    </row>
    <row r="19" spans="1:63" x14ac:dyDescent="0.25">
      <c r="A19" s="6" t="str">
        <f t="shared" si="0"/>
        <v>F71 Production Wellhead1</v>
      </c>
      <c r="B19" s="1" t="s">
        <v>180</v>
      </c>
      <c r="C19" s="1">
        <v>1</v>
      </c>
      <c r="D19" s="1" t="s">
        <v>106</v>
      </c>
      <c r="E19" s="1" t="s">
        <v>59</v>
      </c>
      <c r="F19" s="1" t="s">
        <v>186</v>
      </c>
      <c r="G19" s="1" t="s">
        <v>64</v>
      </c>
      <c r="H19" s="2" t="s">
        <v>183</v>
      </c>
      <c r="I19" s="1">
        <v>50</v>
      </c>
      <c r="J19" s="1">
        <v>60.3</v>
      </c>
      <c r="K19" s="1">
        <v>11.07</v>
      </c>
      <c r="L19" s="2">
        <v>8.3000000000000007</v>
      </c>
      <c r="M19" s="2">
        <v>2.77</v>
      </c>
      <c r="N19" s="2"/>
      <c r="O19" s="2">
        <v>25.02</v>
      </c>
      <c r="P19" s="2" t="s">
        <v>187</v>
      </c>
      <c r="Q19" s="2">
        <v>2.14</v>
      </c>
      <c r="R19" s="2">
        <v>0.11</v>
      </c>
      <c r="S19" s="1"/>
      <c r="T19" s="2">
        <v>2</v>
      </c>
      <c r="U19" s="1">
        <v>1</v>
      </c>
      <c r="V19" s="1"/>
      <c r="W19" s="1" t="s">
        <v>110</v>
      </c>
      <c r="X19" s="1" t="s">
        <v>65</v>
      </c>
      <c r="Y19" s="1" t="s">
        <v>66</v>
      </c>
      <c r="Z19" s="2">
        <v>55.56</v>
      </c>
      <c r="AA19" s="2">
        <v>3.08</v>
      </c>
      <c r="AB19" s="2">
        <v>3.87</v>
      </c>
      <c r="AC19" s="2"/>
      <c r="AD19" s="1">
        <v>25</v>
      </c>
      <c r="AE19" s="2">
        <v>2.2200000000000002</v>
      </c>
      <c r="AF19" s="2">
        <v>0.15</v>
      </c>
      <c r="AG19" s="2">
        <v>5</v>
      </c>
      <c r="AH19" s="2">
        <v>1</v>
      </c>
      <c r="AI19" s="2" t="s">
        <v>111</v>
      </c>
      <c r="AJ19" s="2" t="s">
        <v>63</v>
      </c>
      <c r="AK19" s="1">
        <v>0</v>
      </c>
      <c r="AL19" s="1">
        <v>0</v>
      </c>
      <c r="AM19" s="1">
        <v>0</v>
      </c>
      <c r="AN19" s="2">
        <v>0</v>
      </c>
      <c r="AO19" s="2" t="s">
        <v>60</v>
      </c>
      <c r="AP19" s="2">
        <v>0.5</v>
      </c>
      <c r="AQ19" s="2">
        <v>0.2</v>
      </c>
      <c r="AR19" s="2">
        <v>27.78</v>
      </c>
      <c r="AS19" s="2">
        <v>0.77</v>
      </c>
      <c r="AT19" s="2">
        <v>0</v>
      </c>
      <c r="AU19" s="1"/>
      <c r="AV19" s="1" t="s">
        <v>59</v>
      </c>
      <c r="AW19" s="1"/>
      <c r="AX19" s="1" t="s">
        <v>61</v>
      </c>
      <c r="AY19" s="1"/>
      <c r="AZ19" s="2">
        <v>5.58</v>
      </c>
      <c r="BA19" s="2">
        <v>2.14</v>
      </c>
      <c r="BB19" s="2">
        <v>1.8</v>
      </c>
      <c r="BC19" s="2" t="s">
        <v>62</v>
      </c>
      <c r="BD19" s="2" t="s">
        <v>188</v>
      </c>
      <c r="BE19" s="1"/>
      <c r="BF19" s="2">
        <v>0.11087290273056255</v>
      </c>
      <c r="BG19" s="2" t="s">
        <v>113</v>
      </c>
      <c r="BH19" s="2">
        <v>3.0799999237060547</v>
      </c>
      <c r="BI19" s="1"/>
      <c r="BJ19" s="1"/>
      <c r="BK19" s="1"/>
    </row>
    <row r="20" spans="1:63" x14ac:dyDescent="0.25">
      <c r="A20" s="6" t="str">
        <f t="shared" si="0"/>
        <v>G77M Production Wellhead2</v>
      </c>
      <c r="B20" s="1" t="s">
        <v>189</v>
      </c>
      <c r="C20" s="1">
        <v>2</v>
      </c>
      <c r="D20" s="1" t="s">
        <v>106</v>
      </c>
      <c r="E20" s="1" t="s">
        <v>59</v>
      </c>
      <c r="F20" s="1" t="s">
        <v>173</v>
      </c>
      <c r="G20" s="1" t="s">
        <v>64</v>
      </c>
      <c r="H20" s="2" t="s">
        <v>190</v>
      </c>
      <c r="I20" s="1">
        <v>50</v>
      </c>
      <c r="J20" s="1">
        <v>60.3</v>
      </c>
      <c r="K20" s="1">
        <v>10.6</v>
      </c>
      <c r="L20" s="2">
        <v>7.9</v>
      </c>
      <c r="M20" s="2">
        <v>2.7</v>
      </c>
      <c r="N20" s="2"/>
      <c r="O20" s="2">
        <v>25.47</v>
      </c>
      <c r="P20" s="2" t="s">
        <v>191</v>
      </c>
      <c r="Q20" s="2">
        <v>2.14</v>
      </c>
      <c r="R20" s="2">
        <v>0.1</v>
      </c>
      <c r="S20" s="1"/>
      <c r="T20" s="2">
        <v>2</v>
      </c>
      <c r="U20" s="1">
        <v>1</v>
      </c>
      <c r="V20" s="1"/>
      <c r="W20" s="1" t="s">
        <v>110</v>
      </c>
      <c r="X20" s="1" t="s">
        <v>65</v>
      </c>
      <c r="Y20" s="1" t="s">
        <v>66</v>
      </c>
      <c r="Z20" s="2">
        <v>54.05</v>
      </c>
      <c r="AA20" s="2">
        <v>2.88</v>
      </c>
      <c r="AB20" s="2">
        <v>3.82</v>
      </c>
      <c r="AC20" s="2"/>
      <c r="AD20" s="1">
        <v>25</v>
      </c>
      <c r="AE20" s="2">
        <v>2.16</v>
      </c>
      <c r="AF20" s="2">
        <v>0.15</v>
      </c>
      <c r="AG20" s="2">
        <v>5</v>
      </c>
      <c r="AH20" s="2">
        <v>1</v>
      </c>
      <c r="AI20" s="2" t="s">
        <v>111</v>
      </c>
      <c r="AJ20" s="2" t="s">
        <v>63</v>
      </c>
      <c r="AK20" s="1">
        <v>0</v>
      </c>
      <c r="AL20" s="1">
        <v>0</v>
      </c>
      <c r="AM20" s="1">
        <v>0</v>
      </c>
      <c r="AN20" s="2">
        <v>0</v>
      </c>
      <c r="AO20" s="2" t="s">
        <v>60</v>
      </c>
      <c r="AP20" s="2">
        <v>0.5</v>
      </c>
      <c r="AQ20" s="2">
        <v>0.2</v>
      </c>
      <c r="AR20" s="2">
        <v>27.02</v>
      </c>
      <c r="AS20" s="2">
        <v>0.76</v>
      </c>
      <c r="AT20" s="2">
        <v>0</v>
      </c>
      <c r="AU20" s="1"/>
      <c r="AV20" s="1" t="s">
        <v>59</v>
      </c>
      <c r="AW20" s="1"/>
      <c r="AX20" s="1" t="s">
        <v>61</v>
      </c>
      <c r="AY20" s="1"/>
      <c r="AZ20" s="2">
        <v>5.58</v>
      </c>
      <c r="BA20" s="2">
        <v>2.14</v>
      </c>
      <c r="BB20" s="2">
        <v>1.8</v>
      </c>
      <c r="BC20" s="2" t="s">
        <v>62</v>
      </c>
      <c r="BD20" s="2" t="s">
        <v>192</v>
      </c>
      <c r="BE20" s="1"/>
      <c r="BF20" s="2">
        <v>0.10657510543960204</v>
      </c>
      <c r="BG20" s="2" t="s">
        <v>113</v>
      </c>
      <c r="BH20" s="2">
        <v>2.880000114440918</v>
      </c>
      <c r="BI20" s="1"/>
      <c r="BJ20" s="1"/>
      <c r="BK20" s="1"/>
    </row>
    <row r="21" spans="1:63" x14ac:dyDescent="0.25">
      <c r="A21" s="6" t="str">
        <f t="shared" si="0"/>
        <v>K14 Production Wellhead1</v>
      </c>
      <c r="B21" s="1" t="s">
        <v>193</v>
      </c>
      <c r="C21" s="1">
        <v>1</v>
      </c>
      <c r="D21" s="1" t="s">
        <v>150</v>
      </c>
      <c r="E21" s="1" t="s">
        <v>59</v>
      </c>
      <c r="F21" s="1" t="s">
        <v>194</v>
      </c>
      <c r="G21" s="1" t="s">
        <v>64</v>
      </c>
      <c r="H21" s="2" t="s">
        <v>195</v>
      </c>
      <c r="I21" s="1">
        <v>50</v>
      </c>
      <c r="J21" s="1">
        <v>60.3</v>
      </c>
      <c r="K21" s="1">
        <v>11.07</v>
      </c>
      <c r="L21" s="2">
        <v>8.6999999999999993</v>
      </c>
      <c r="M21" s="2">
        <v>2.37</v>
      </c>
      <c r="N21" s="2"/>
      <c r="O21" s="2">
        <v>21.4</v>
      </c>
      <c r="P21" s="2" t="s">
        <v>196</v>
      </c>
      <c r="Q21" s="2">
        <v>2.14</v>
      </c>
      <c r="R21" s="2">
        <v>0.09</v>
      </c>
      <c r="S21" s="1"/>
      <c r="T21" s="2">
        <v>2</v>
      </c>
      <c r="U21" s="1">
        <v>1</v>
      </c>
      <c r="V21" s="1"/>
      <c r="W21" s="1" t="s">
        <v>110</v>
      </c>
      <c r="X21" s="1" t="s">
        <v>65</v>
      </c>
      <c r="Y21" s="1" t="s">
        <v>66</v>
      </c>
      <c r="Z21" s="2">
        <v>69.34</v>
      </c>
      <c r="AA21" s="2">
        <v>3.28</v>
      </c>
      <c r="AB21" s="2">
        <v>4.34</v>
      </c>
      <c r="AC21" s="2"/>
      <c r="AD21" s="1">
        <v>25</v>
      </c>
      <c r="AE21" s="2">
        <v>2.77</v>
      </c>
      <c r="AF21" s="2">
        <v>0.17</v>
      </c>
      <c r="AG21" s="2">
        <v>5</v>
      </c>
      <c r="AH21" s="2">
        <v>1</v>
      </c>
      <c r="AI21" s="2" t="s">
        <v>111</v>
      </c>
      <c r="AJ21" s="2" t="s">
        <v>63</v>
      </c>
      <c r="AK21" s="1">
        <v>0</v>
      </c>
      <c r="AL21" s="1">
        <v>0</v>
      </c>
      <c r="AM21" s="1">
        <v>0</v>
      </c>
      <c r="AN21" s="2">
        <v>0</v>
      </c>
      <c r="AO21" s="2" t="s">
        <v>60</v>
      </c>
      <c r="AP21" s="2">
        <v>0.5</v>
      </c>
      <c r="AQ21" s="2">
        <v>0.2</v>
      </c>
      <c r="AR21" s="2">
        <v>34.67</v>
      </c>
      <c r="AS21" s="2">
        <v>0.87</v>
      </c>
      <c r="AT21" s="2">
        <v>0</v>
      </c>
      <c r="AU21" s="1"/>
      <c r="AV21" s="1" t="s">
        <v>59</v>
      </c>
      <c r="AW21" s="1"/>
      <c r="AX21" s="1" t="s">
        <v>61</v>
      </c>
      <c r="AY21" s="1"/>
      <c r="AZ21" s="2">
        <v>5.58</v>
      </c>
      <c r="BA21" s="2">
        <v>2.14</v>
      </c>
      <c r="BB21" s="2">
        <v>1.8</v>
      </c>
      <c r="BC21" s="2" t="s">
        <v>62</v>
      </c>
      <c r="BD21" s="2" t="s">
        <v>197</v>
      </c>
      <c r="BE21" s="1"/>
      <c r="BF21" s="2">
        <v>9.4603018372703421E-2</v>
      </c>
      <c r="BG21" s="2" t="s">
        <v>113</v>
      </c>
      <c r="BH21" s="2">
        <v>3.2799999713897705</v>
      </c>
      <c r="BI21" s="1"/>
      <c r="BJ21" s="1"/>
      <c r="BK21" s="1"/>
    </row>
    <row r="22" spans="1:63" x14ac:dyDescent="0.25">
      <c r="A22" s="6" t="str">
        <f t="shared" si="0"/>
        <v>K62 Production Wellhead1</v>
      </c>
      <c r="B22" s="1" t="s">
        <v>198</v>
      </c>
      <c r="C22" s="1">
        <v>1</v>
      </c>
      <c r="D22" s="1" t="s">
        <v>141</v>
      </c>
      <c r="E22" s="1" t="s">
        <v>59</v>
      </c>
      <c r="F22" s="1" t="s">
        <v>199</v>
      </c>
      <c r="G22" s="1" t="s">
        <v>64</v>
      </c>
      <c r="H22" s="2" t="s">
        <v>200</v>
      </c>
      <c r="I22" s="1">
        <v>50</v>
      </c>
      <c r="J22" s="1">
        <v>60.3</v>
      </c>
      <c r="K22" s="1">
        <v>8.74</v>
      </c>
      <c r="L22" s="2">
        <v>6.7</v>
      </c>
      <c r="M22" s="2">
        <v>2.04</v>
      </c>
      <c r="N22" s="2"/>
      <c r="O22" s="2">
        <v>23.34</v>
      </c>
      <c r="P22" s="2" t="s">
        <v>201</v>
      </c>
      <c r="Q22" s="2">
        <v>2.14</v>
      </c>
      <c r="R22" s="2">
        <v>0.08</v>
      </c>
      <c r="S22" s="1"/>
      <c r="T22" s="2">
        <v>2</v>
      </c>
      <c r="U22" s="1">
        <v>1</v>
      </c>
      <c r="V22" s="1"/>
      <c r="W22" s="1" t="s">
        <v>110</v>
      </c>
      <c r="X22" s="1" t="s">
        <v>65</v>
      </c>
      <c r="Y22" s="1" t="s">
        <v>66</v>
      </c>
      <c r="Z22" s="2">
        <v>56.37</v>
      </c>
      <c r="AA22" s="2">
        <v>2.2799999999999998</v>
      </c>
      <c r="AB22" s="2">
        <v>2.5</v>
      </c>
      <c r="AC22" s="2"/>
      <c r="AD22" s="1">
        <v>25</v>
      </c>
      <c r="AE22" s="2">
        <v>2.25</v>
      </c>
      <c r="AF22" s="2">
        <v>0.1</v>
      </c>
      <c r="AG22" s="2">
        <v>5</v>
      </c>
      <c r="AH22" s="2">
        <v>1</v>
      </c>
      <c r="AI22" s="2" t="s">
        <v>111</v>
      </c>
      <c r="AJ22" s="2" t="s">
        <v>63</v>
      </c>
      <c r="AK22" s="1">
        <v>0</v>
      </c>
      <c r="AL22" s="1">
        <v>0</v>
      </c>
      <c r="AM22" s="1">
        <v>0</v>
      </c>
      <c r="AN22" s="2">
        <v>0</v>
      </c>
      <c r="AO22" s="2" t="s">
        <v>60</v>
      </c>
      <c r="AP22" s="2">
        <v>0.5</v>
      </c>
      <c r="AQ22" s="2">
        <v>0.2</v>
      </c>
      <c r="AR22" s="2">
        <v>28.18</v>
      </c>
      <c r="AS22" s="2">
        <v>0.5</v>
      </c>
      <c r="AT22" s="2">
        <v>0</v>
      </c>
      <c r="AU22" s="1"/>
      <c r="AV22" s="1" t="s">
        <v>59</v>
      </c>
      <c r="AW22" s="1"/>
      <c r="AX22" s="1" t="s">
        <v>61</v>
      </c>
      <c r="AY22" s="1"/>
      <c r="AZ22" s="2">
        <v>5.58</v>
      </c>
      <c r="BA22" s="2">
        <v>2.14</v>
      </c>
      <c r="BB22" s="2">
        <v>1.8</v>
      </c>
      <c r="BC22" s="2" t="s">
        <v>62</v>
      </c>
      <c r="BD22" s="2" t="s">
        <v>202</v>
      </c>
      <c r="BE22" s="1"/>
      <c r="BF22" s="2">
        <v>8.0890820206409558E-2</v>
      </c>
      <c r="BG22" s="2" t="s">
        <v>113</v>
      </c>
      <c r="BH22" s="2">
        <v>2.2799999713897705</v>
      </c>
      <c r="BI22" s="1"/>
      <c r="BJ22" s="1"/>
      <c r="BK22" s="1"/>
    </row>
    <row r="23" spans="1:63" x14ac:dyDescent="0.25">
      <c r="A23" s="6" t="str">
        <f t="shared" si="0"/>
        <v>K66 Production Wellhead1</v>
      </c>
      <c r="B23" s="1" t="s">
        <v>203</v>
      </c>
      <c r="C23" s="1">
        <v>1</v>
      </c>
      <c r="D23" s="1" t="s">
        <v>141</v>
      </c>
      <c r="E23" s="1" t="s">
        <v>59</v>
      </c>
      <c r="F23" s="1" t="s">
        <v>199</v>
      </c>
      <c r="G23" s="1" t="s">
        <v>64</v>
      </c>
      <c r="H23" s="2" t="s">
        <v>200</v>
      </c>
      <c r="I23" s="1">
        <v>50</v>
      </c>
      <c r="J23" s="1">
        <v>60.3</v>
      </c>
      <c r="K23" s="1">
        <v>8.74</v>
      </c>
      <c r="L23" s="2">
        <v>6.7</v>
      </c>
      <c r="M23" s="2">
        <v>2.04</v>
      </c>
      <c r="N23" s="2"/>
      <c r="O23" s="2">
        <v>23.34</v>
      </c>
      <c r="P23" s="2" t="s">
        <v>204</v>
      </c>
      <c r="Q23" s="2">
        <v>2.14</v>
      </c>
      <c r="R23" s="2">
        <v>0.08</v>
      </c>
      <c r="S23" s="1"/>
      <c r="T23" s="2">
        <v>2</v>
      </c>
      <c r="U23" s="1">
        <v>1</v>
      </c>
      <c r="V23" s="1"/>
      <c r="W23" s="1" t="s">
        <v>110</v>
      </c>
      <c r="X23" s="1" t="s">
        <v>65</v>
      </c>
      <c r="Y23" s="1" t="s">
        <v>66</v>
      </c>
      <c r="Z23" s="2">
        <v>56.37</v>
      </c>
      <c r="AA23" s="2">
        <v>2.2799999999999998</v>
      </c>
      <c r="AB23" s="2">
        <v>2.5</v>
      </c>
      <c r="AC23" s="2"/>
      <c r="AD23" s="1">
        <v>25</v>
      </c>
      <c r="AE23" s="2">
        <v>2.25</v>
      </c>
      <c r="AF23" s="2">
        <v>0.1</v>
      </c>
      <c r="AG23" s="2">
        <v>5</v>
      </c>
      <c r="AH23" s="2">
        <v>1</v>
      </c>
      <c r="AI23" s="2" t="s">
        <v>111</v>
      </c>
      <c r="AJ23" s="2" t="s">
        <v>63</v>
      </c>
      <c r="AK23" s="1">
        <v>0</v>
      </c>
      <c r="AL23" s="1">
        <v>0</v>
      </c>
      <c r="AM23" s="1">
        <v>0</v>
      </c>
      <c r="AN23" s="2">
        <v>0</v>
      </c>
      <c r="AO23" s="2" t="s">
        <v>60</v>
      </c>
      <c r="AP23" s="2">
        <v>0.5</v>
      </c>
      <c r="AQ23" s="2">
        <v>0.2</v>
      </c>
      <c r="AR23" s="2">
        <v>28.18</v>
      </c>
      <c r="AS23" s="2">
        <v>0.5</v>
      </c>
      <c r="AT23" s="2">
        <v>0</v>
      </c>
      <c r="AU23" s="1"/>
      <c r="AV23" s="1" t="s">
        <v>59</v>
      </c>
      <c r="AW23" s="1"/>
      <c r="AX23" s="1" t="s">
        <v>61</v>
      </c>
      <c r="AY23" s="1"/>
      <c r="AZ23" s="2">
        <v>5.58</v>
      </c>
      <c r="BA23" s="2">
        <v>2.14</v>
      </c>
      <c r="BB23" s="2">
        <v>1.8</v>
      </c>
      <c r="BC23" s="2" t="s">
        <v>62</v>
      </c>
      <c r="BD23" s="2" t="s">
        <v>202</v>
      </c>
      <c r="BE23" s="1"/>
      <c r="BF23" s="2">
        <v>8.0890820206409558E-2</v>
      </c>
      <c r="BG23" s="2" t="s">
        <v>113</v>
      </c>
      <c r="BH23" s="2">
        <v>2.2799999713897705</v>
      </c>
      <c r="BI23" s="1"/>
      <c r="BJ23" s="1"/>
      <c r="BK23" s="1"/>
    </row>
    <row r="24" spans="1:63" x14ac:dyDescent="0.25">
      <c r="A24" s="6" t="str">
        <f t="shared" si="0"/>
        <v>K66 Production Wellhead2</v>
      </c>
      <c r="B24" s="1" t="s">
        <v>203</v>
      </c>
      <c r="C24" s="1">
        <v>2</v>
      </c>
      <c r="D24" s="1" t="s">
        <v>136</v>
      </c>
      <c r="E24" s="1" t="s">
        <v>59</v>
      </c>
      <c r="F24" s="1" t="s">
        <v>199</v>
      </c>
      <c r="G24" s="1" t="s">
        <v>64</v>
      </c>
      <c r="H24" s="2" t="s">
        <v>200</v>
      </c>
      <c r="I24" s="1">
        <v>50</v>
      </c>
      <c r="J24" s="1">
        <v>60.3</v>
      </c>
      <c r="K24" s="1">
        <v>11.07</v>
      </c>
      <c r="L24" s="2">
        <v>8.3000000000000007</v>
      </c>
      <c r="M24" s="2">
        <v>2.77</v>
      </c>
      <c r="N24" s="2"/>
      <c r="O24" s="2">
        <v>25.02</v>
      </c>
      <c r="P24" s="2" t="s">
        <v>205</v>
      </c>
      <c r="Q24" s="2">
        <v>2.14</v>
      </c>
      <c r="R24" s="2">
        <v>0.1</v>
      </c>
      <c r="S24" s="1"/>
      <c r="T24" s="2">
        <v>2</v>
      </c>
      <c r="U24" s="1">
        <v>1</v>
      </c>
      <c r="V24" s="1"/>
      <c r="W24" s="1" t="s">
        <v>110</v>
      </c>
      <c r="X24" s="1" t="s">
        <v>65</v>
      </c>
      <c r="Y24" s="1" t="s">
        <v>66</v>
      </c>
      <c r="Z24" s="2">
        <v>56.08</v>
      </c>
      <c r="AA24" s="2">
        <v>3.08</v>
      </c>
      <c r="AB24" s="2">
        <v>4.0999999999999996</v>
      </c>
      <c r="AC24" s="2"/>
      <c r="AD24" s="1">
        <v>25</v>
      </c>
      <c r="AE24" s="2">
        <v>2.2400000000000002</v>
      </c>
      <c r="AF24" s="2">
        <v>0.16</v>
      </c>
      <c r="AG24" s="2">
        <v>5</v>
      </c>
      <c r="AH24" s="2">
        <v>1</v>
      </c>
      <c r="AI24" s="2" t="s">
        <v>111</v>
      </c>
      <c r="AJ24" s="2" t="s">
        <v>63</v>
      </c>
      <c r="AK24" s="1">
        <v>0</v>
      </c>
      <c r="AL24" s="1">
        <v>0</v>
      </c>
      <c r="AM24" s="1">
        <v>0</v>
      </c>
      <c r="AN24" s="2">
        <v>0</v>
      </c>
      <c r="AO24" s="2" t="s">
        <v>60</v>
      </c>
      <c r="AP24" s="2">
        <v>0.5</v>
      </c>
      <c r="AQ24" s="2">
        <v>0.2</v>
      </c>
      <c r="AR24" s="2">
        <v>28.04</v>
      </c>
      <c r="AS24" s="2">
        <v>0.82</v>
      </c>
      <c r="AT24" s="2">
        <v>0</v>
      </c>
      <c r="AU24" s="1"/>
      <c r="AV24" s="1" t="s">
        <v>59</v>
      </c>
      <c r="AW24" s="1"/>
      <c r="AX24" s="1" t="s">
        <v>61</v>
      </c>
      <c r="AY24" s="1"/>
      <c r="AZ24" s="2">
        <v>5.58</v>
      </c>
      <c r="BA24" s="2">
        <v>2.14</v>
      </c>
      <c r="BB24" s="2">
        <v>1.8</v>
      </c>
      <c r="BC24" s="2" t="s">
        <v>62</v>
      </c>
      <c r="BD24" s="2" t="s">
        <v>140</v>
      </c>
      <c r="BE24" s="1"/>
      <c r="BF24" s="2">
        <v>0.10983704508419337</v>
      </c>
      <c r="BG24" s="2" t="s">
        <v>113</v>
      </c>
      <c r="BH24" s="2">
        <v>3.0799999237060547</v>
      </c>
      <c r="BI24" s="1"/>
      <c r="BJ24" s="1"/>
      <c r="BK24" s="1"/>
    </row>
    <row r="25" spans="1:63" x14ac:dyDescent="0.25">
      <c r="A25" s="6" t="str">
        <f t="shared" si="0"/>
        <v>L23 Production Wellhead2</v>
      </c>
      <c r="B25" s="1" t="s">
        <v>206</v>
      </c>
      <c r="C25" s="1">
        <v>2</v>
      </c>
      <c r="D25" s="1" t="s">
        <v>136</v>
      </c>
      <c r="E25" s="1" t="s">
        <v>59</v>
      </c>
      <c r="F25" s="1" t="s">
        <v>199</v>
      </c>
      <c r="G25" s="1" t="s">
        <v>64</v>
      </c>
      <c r="H25" s="2" t="s">
        <v>207</v>
      </c>
      <c r="I25" s="1">
        <v>50</v>
      </c>
      <c r="J25" s="1">
        <v>60.3</v>
      </c>
      <c r="K25" s="1">
        <v>10.4</v>
      </c>
      <c r="L25" s="2">
        <v>7.9</v>
      </c>
      <c r="M25" s="2">
        <v>2.5</v>
      </c>
      <c r="N25" s="2"/>
      <c r="O25" s="2">
        <v>24.03</v>
      </c>
      <c r="P25" s="2" t="s">
        <v>208</v>
      </c>
      <c r="Q25" s="2">
        <v>2.14</v>
      </c>
      <c r="R25" s="2">
        <v>0.09</v>
      </c>
      <c r="S25" s="1"/>
      <c r="T25" s="2">
        <v>2</v>
      </c>
      <c r="U25" s="1">
        <v>1</v>
      </c>
      <c r="V25" s="1"/>
      <c r="W25" s="1" t="s">
        <v>110</v>
      </c>
      <c r="X25" s="1" t="s">
        <v>65</v>
      </c>
      <c r="Y25" s="1" t="s">
        <v>66</v>
      </c>
      <c r="Z25" s="2">
        <v>58.1</v>
      </c>
      <c r="AA25" s="2">
        <v>2.88</v>
      </c>
      <c r="AB25" s="2">
        <v>3.7</v>
      </c>
      <c r="AC25" s="2"/>
      <c r="AD25" s="1">
        <v>25</v>
      </c>
      <c r="AE25" s="2">
        <v>2.3199999999999998</v>
      </c>
      <c r="AF25" s="2">
        <v>0.15</v>
      </c>
      <c r="AG25" s="2">
        <v>5</v>
      </c>
      <c r="AH25" s="2">
        <v>1</v>
      </c>
      <c r="AI25" s="2" t="s">
        <v>111</v>
      </c>
      <c r="AJ25" s="2" t="s">
        <v>63</v>
      </c>
      <c r="AK25" s="1">
        <v>0</v>
      </c>
      <c r="AL25" s="1">
        <v>0</v>
      </c>
      <c r="AM25" s="1">
        <v>0</v>
      </c>
      <c r="AN25" s="2">
        <v>0</v>
      </c>
      <c r="AO25" s="2" t="s">
        <v>60</v>
      </c>
      <c r="AP25" s="2">
        <v>0.5</v>
      </c>
      <c r="AQ25" s="2">
        <v>0.2</v>
      </c>
      <c r="AR25" s="2">
        <v>29.05</v>
      </c>
      <c r="AS25" s="2">
        <v>0.74</v>
      </c>
      <c r="AT25" s="2">
        <v>0</v>
      </c>
      <c r="AU25" s="1"/>
      <c r="AV25" s="1" t="s">
        <v>59</v>
      </c>
      <c r="AW25" s="1"/>
      <c r="AX25" s="1" t="s">
        <v>61</v>
      </c>
      <c r="AY25" s="1"/>
      <c r="AZ25" s="2">
        <v>5.58</v>
      </c>
      <c r="BA25" s="2">
        <v>2.14</v>
      </c>
      <c r="BB25" s="2">
        <v>1.8</v>
      </c>
      <c r="BC25" s="2" t="s">
        <v>62</v>
      </c>
      <c r="BD25" s="2" t="s">
        <v>209</v>
      </c>
      <c r="BE25" s="1"/>
      <c r="BF25" s="2">
        <v>9.914167753150803E-2</v>
      </c>
      <c r="BG25" s="2" t="s">
        <v>113</v>
      </c>
      <c r="BH25" s="2">
        <v>2.880000114440918</v>
      </c>
      <c r="BI25" s="1"/>
      <c r="BJ25" s="1"/>
      <c r="BK25" s="1"/>
    </row>
    <row r="26" spans="1:63" x14ac:dyDescent="0.25">
      <c r="A26" s="6" t="str">
        <f t="shared" si="0"/>
        <v>L62 Production Wellhead2</v>
      </c>
      <c r="B26" s="1" t="s">
        <v>210</v>
      </c>
      <c r="C26" s="1">
        <v>2</v>
      </c>
      <c r="D26" s="1" t="s">
        <v>125</v>
      </c>
      <c r="E26" s="1" t="s">
        <v>59</v>
      </c>
      <c r="F26" s="1" t="s">
        <v>211</v>
      </c>
      <c r="G26" s="1" t="s">
        <v>64</v>
      </c>
      <c r="H26" s="2" t="s">
        <v>212</v>
      </c>
      <c r="I26" s="1">
        <v>50</v>
      </c>
      <c r="J26" s="1">
        <v>60.3</v>
      </c>
      <c r="K26" s="1">
        <v>10.7</v>
      </c>
      <c r="L26" s="2">
        <v>8.1999999999999993</v>
      </c>
      <c r="M26" s="2">
        <v>2.5</v>
      </c>
      <c r="N26" s="2"/>
      <c r="O26" s="2">
        <v>23.36</v>
      </c>
      <c r="P26" s="2" t="s">
        <v>213</v>
      </c>
      <c r="Q26" s="2">
        <v>2.14</v>
      </c>
      <c r="R26" s="2">
        <v>0.09</v>
      </c>
      <c r="S26" s="1"/>
      <c r="T26" s="2">
        <v>2</v>
      </c>
      <c r="U26" s="1">
        <v>1</v>
      </c>
      <c r="V26" s="1"/>
      <c r="W26" s="1" t="s">
        <v>110</v>
      </c>
      <c r="X26" s="1" t="s">
        <v>65</v>
      </c>
      <c r="Y26" s="1" t="s">
        <v>66</v>
      </c>
      <c r="Z26" s="2">
        <v>60.85</v>
      </c>
      <c r="AA26" s="2">
        <v>3.03</v>
      </c>
      <c r="AB26" s="2">
        <v>3.89</v>
      </c>
      <c r="AC26" s="2"/>
      <c r="AD26" s="1">
        <v>25</v>
      </c>
      <c r="AE26" s="2">
        <v>2.4300000000000002</v>
      </c>
      <c r="AF26" s="2">
        <v>0.16</v>
      </c>
      <c r="AG26" s="2">
        <v>5</v>
      </c>
      <c r="AH26" s="2">
        <v>1</v>
      </c>
      <c r="AI26" s="2" t="s">
        <v>111</v>
      </c>
      <c r="AJ26" s="2" t="s">
        <v>63</v>
      </c>
      <c r="AK26" s="1">
        <v>0</v>
      </c>
      <c r="AL26" s="1">
        <v>0</v>
      </c>
      <c r="AM26" s="1">
        <v>0</v>
      </c>
      <c r="AN26" s="2">
        <v>0</v>
      </c>
      <c r="AO26" s="2" t="s">
        <v>60</v>
      </c>
      <c r="AP26" s="2">
        <v>0.5</v>
      </c>
      <c r="AQ26" s="2">
        <v>0.2</v>
      </c>
      <c r="AR26" s="2">
        <v>30.43</v>
      </c>
      <c r="AS26" s="2">
        <v>0.78</v>
      </c>
      <c r="AT26" s="2">
        <v>0</v>
      </c>
      <c r="AU26" s="1"/>
      <c r="AV26" s="1" t="s">
        <v>59</v>
      </c>
      <c r="AW26" s="1"/>
      <c r="AX26" s="1" t="s">
        <v>61</v>
      </c>
      <c r="AY26" s="1"/>
      <c r="AZ26" s="2">
        <v>5.58</v>
      </c>
      <c r="BA26" s="2">
        <v>2.14</v>
      </c>
      <c r="BB26" s="2">
        <v>1.8</v>
      </c>
      <c r="BC26" s="2" t="s">
        <v>62</v>
      </c>
      <c r="BD26" s="2" t="s">
        <v>112</v>
      </c>
      <c r="BE26" s="1"/>
      <c r="BF26" s="2">
        <v>9.9585288660918925E-2</v>
      </c>
      <c r="BG26" s="2" t="s">
        <v>113</v>
      </c>
      <c r="BH26" s="2">
        <v>3.0299999713897705</v>
      </c>
      <c r="BI26" s="1"/>
      <c r="BJ26" s="1"/>
      <c r="BK26" s="1"/>
    </row>
    <row r="27" spans="1:63" x14ac:dyDescent="0.25">
      <c r="A27" s="6" t="str">
        <f t="shared" si="0"/>
        <v>L64 Production Wellhead1</v>
      </c>
      <c r="B27" s="1" t="s">
        <v>214</v>
      </c>
      <c r="C27" s="1">
        <v>1</v>
      </c>
      <c r="D27" s="1" t="s">
        <v>141</v>
      </c>
      <c r="E27" s="1" t="s">
        <v>59</v>
      </c>
      <c r="F27" s="1" t="s">
        <v>215</v>
      </c>
      <c r="G27" s="1" t="s">
        <v>64</v>
      </c>
      <c r="H27" s="2" t="s">
        <v>216</v>
      </c>
      <c r="I27" s="1">
        <v>50</v>
      </c>
      <c r="J27" s="1">
        <v>60.3</v>
      </c>
      <c r="K27" s="1">
        <v>10</v>
      </c>
      <c r="L27" s="2">
        <v>7.3</v>
      </c>
      <c r="M27" s="2">
        <v>2.7</v>
      </c>
      <c r="N27" s="2"/>
      <c r="O27" s="2">
        <v>27</v>
      </c>
      <c r="P27" s="2" t="s">
        <v>217</v>
      </c>
      <c r="Q27" s="2">
        <v>2.14</v>
      </c>
      <c r="R27" s="2">
        <v>0.1</v>
      </c>
      <c r="S27" s="1"/>
      <c r="T27" s="2">
        <v>2</v>
      </c>
      <c r="U27" s="1">
        <v>1</v>
      </c>
      <c r="V27" s="1"/>
      <c r="W27" s="1" t="s">
        <v>110</v>
      </c>
      <c r="X27" s="1" t="s">
        <v>65</v>
      </c>
      <c r="Y27" s="1" t="s">
        <v>66</v>
      </c>
      <c r="Z27" s="2">
        <v>48.02</v>
      </c>
      <c r="AA27" s="2">
        <v>2.58</v>
      </c>
      <c r="AB27" s="2">
        <v>3.01</v>
      </c>
      <c r="AC27" s="2"/>
      <c r="AD27" s="1">
        <v>25</v>
      </c>
      <c r="AE27" s="2">
        <v>1.92</v>
      </c>
      <c r="AF27" s="2">
        <v>0.12</v>
      </c>
      <c r="AG27" s="2">
        <v>4</v>
      </c>
      <c r="AH27" s="2">
        <v>1</v>
      </c>
      <c r="AI27" s="2" t="s">
        <v>60</v>
      </c>
      <c r="AJ27" s="2" t="s">
        <v>63</v>
      </c>
      <c r="AK27" s="1">
        <v>0</v>
      </c>
      <c r="AL27" s="1">
        <v>0</v>
      </c>
      <c r="AM27" s="1">
        <v>0</v>
      </c>
      <c r="AN27" s="2">
        <v>0</v>
      </c>
      <c r="AO27" s="2" t="s">
        <v>60</v>
      </c>
      <c r="AP27" s="2">
        <v>0.4</v>
      </c>
      <c r="AQ27" s="2">
        <v>0.2</v>
      </c>
      <c r="AR27" s="2">
        <v>19.21</v>
      </c>
      <c r="AS27" s="2">
        <v>0.6</v>
      </c>
      <c r="AT27" s="2">
        <v>0</v>
      </c>
      <c r="AU27" s="1"/>
      <c r="AV27" s="1" t="s">
        <v>59</v>
      </c>
      <c r="AW27" s="1"/>
      <c r="AX27" s="1" t="s">
        <v>61</v>
      </c>
      <c r="AY27" s="1"/>
      <c r="AZ27" s="2">
        <v>5.58</v>
      </c>
      <c r="BA27" s="2">
        <v>2.14</v>
      </c>
      <c r="BB27" s="2">
        <v>1.8</v>
      </c>
      <c r="BC27" s="2" t="s">
        <v>62</v>
      </c>
      <c r="BD27" s="2" t="s">
        <v>218</v>
      </c>
      <c r="BE27" s="1"/>
      <c r="BF27" s="2">
        <v>0.10744657653728741</v>
      </c>
      <c r="BG27" s="2" t="s">
        <v>113</v>
      </c>
      <c r="BH27" s="2">
        <v>2.5799999237060547</v>
      </c>
      <c r="BI27" s="1"/>
      <c r="BJ27" s="1"/>
      <c r="BK27" s="1"/>
    </row>
    <row r="28" spans="1:63" x14ac:dyDescent="0.25">
      <c r="A28" s="6" t="str">
        <f t="shared" si="0"/>
        <v>L65 Production Wellhead2</v>
      </c>
      <c r="B28" s="1" t="s">
        <v>219</v>
      </c>
      <c r="C28" s="1">
        <v>2</v>
      </c>
      <c r="D28" s="1" t="s">
        <v>136</v>
      </c>
      <c r="E28" s="1" t="s">
        <v>59</v>
      </c>
      <c r="F28" s="1" t="s">
        <v>220</v>
      </c>
      <c r="G28" s="1" t="s">
        <v>64</v>
      </c>
      <c r="H28" s="2" t="s">
        <v>221</v>
      </c>
      <c r="I28" s="1">
        <v>50</v>
      </c>
      <c r="J28" s="1">
        <v>60.3</v>
      </c>
      <c r="K28" s="1">
        <v>11.5</v>
      </c>
      <c r="L28" s="2">
        <v>8.6999999999999993</v>
      </c>
      <c r="M28" s="2">
        <v>2.8</v>
      </c>
      <c r="N28" s="2"/>
      <c r="O28" s="2">
        <v>24.34</v>
      </c>
      <c r="P28" s="2" t="s">
        <v>222</v>
      </c>
      <c r="Q28" s="2">
        <v>2.14</v>
      </c>
      <c r="R28" s="2">
        <v>0.11</v>
      </c>
      <c r="S28" s="1"/>
      <c r="T28" s="2">
        <v>2</v>
      </c>
      <c r="U28" s="1">
        <v>1</v>
      </c>
      <c r="V28" s="1"/>
      <c r="W28" s="1" t="s">
        <v>110</v>
      </c>
      <c r="X28" s="1" t="s">
        <v>65</v>
      </c>
      <c r="Y28" s="1" t="s">
        <v>66</v>
      </c>
      <c r="Z28" s="2">
        <v>58.9</v>
      </c>
      <c r="AA28" s="2">
        <v>3.28</v>
      </c>
      <c r="AB28" s="2">
        <v>4.42</v>
      </c>
      <c r="AC28" s="2"/>
      <c r="AD28" s="1">
        <v>25</v>
      </c>
      <c r="AE28" s="2">
        <v>2.36</v>
      </c>
      <c r="AF28" s="2">
        <v>0.18</v>
      </c>
      <c r="AG28" s="2">
        <v>5</v>
      </c>
      <c r="AH28" s="2">
        <v>1</v>
      </c>
      <c r="AI28" s="2" t="s">
        <v>111</v>
      </c>
      <c r="AJ28" s="2" t="s">
        <v>63</v>
      </c>
      <c r="AK28" s="1">
        <v>0</v>
      </c>
      <c r="AL28" s="1">
        <v>0</v>
      </c>
      <c r="AM28" s="1">
        <v>0</v>
      </c>
      <c r="AN28" s="2">
        <v>0</v>
      </c>
      <c r="AO28" s="2" t="s">
        <v>60</v>
      </c>
      <c r="AP28" s="2">
        <v>0.5</v>
      </c>
      <c r="AQ28" s="2">
        <v>0.2</v>
      </c>
      <c r="AR28" s="2">
        <v>29.45</v>
      </c>
      <c r="AS28" s="2">
        <v>0.88</v>
      </c>
      <c r="AT28" s="2">
        <v>0</v>
      </c>
      <c r="AU28" s="1"/>
      <c r="AV28" s="1" t="s">
        <v>59</v>
      </c>
      <c r="AW28" s="1"/>
      <c r="AX28" s="1" t="s">
        <v>61</v>
      </c>
      <c r="AY28" s="1"/>
      <c r="AZ28" s="2">
        <v>5.58</v>
      </c>
      <c r="BA28" s="2">
        <v>2.14</v>
      </c>
      <c r="BB28" s="2">
        <v>1.8</v>
      </c>
      <c r="BC28" s="2" t="s">
        <v>62</v>
      </c>
      <c r="BD28" s="2" t="s">
        <v>171</v>
      </c>
      <c r="BE28" s="1"/>
      <c r="BF28" s="2">
        <v>0.11137750653879686</v>
      </c>
      <c r="BG28" s="2" t="s">
        <v>113</v>
      </c>
      <c r="BH28" s="2">
        <v>3.2799999713897705</v>
      </c>
      <c r="BI28" s="1"/>
      <c r="BJ28" s="1"/>
      <c r="BK28" s="1"/>
    </row>
    <row r="29" spans="1:63" x14ac:dyDescent="0.25">
      <c r="A29" s="6" t="str">
        <f t="shared" si="0"/>
        <v>L82 Production Wellhead1</v>
      </c>
      <c r="B29" s="1" t="s">
        <v>223</v>
      </c>
      <c r="C29" s="1">
        <v>1</v>
      </c>
      <c r="D29" s="1" t="s">
        <v>106</v>
      </c>
      <c r="E29" s="1" t="s">
        <v>59</v>
      </c>
      <c r="F29" s="1" t="s">
        <v>186</v>
      </c>
      <c r="G29" s="1" t="s">
        <v>64</v>
      </c>
      <c r="H29" s="2" t="s">
        <v>183</v>
      </c>
      <c r="I29" s="1">
        <v>50</v>
      </c>
      <c r="J29" s="1">
        <v>60.3</v>
      </c>
      <c r="K29" s="1">
        <v>11.07</v>
      </c>
      <c r="L29" s="2">
        <v>8.4</v>
      </c>
      <c r="M29" s="2">
        <v>2.67</v>
      </c>
      <c r="N29" s="2"/>
      <c r="O29" s="2">
        <v>24.11</v>
      </c>
      <c r="P29" s="2" t="s">
        <v>224</v>
      </c>
      <c r="Q29" s="2">
        <v>2.14</v>
      </c>
      <c r="R29" s="2">
        <v>0.1</v>
      </c>
      <c r="S29" s="1"/>
      <c r="T29" s="2">
        <v>2</v>
      </c>
      <c r="U29" s="1">
        <v>1</v>
      </c>
      <c r="V29" s="1"/>
      <c r="W29" s="1" t="s">
        <v>110</v>
      </c>
      <c r="X29" s="1" t="s">
        <v>65</v>
      </c>
      <c r="Y29" s="1" t="s">
        <v>66</v>
      </c>
      <c r="Z29" s="2">
        <v>58.58</v>
      </c>
      <c r="AA29" s="2">
        <v>3.13</v>
      </c>
      <c r="AB29" s="2">
        <v>3.97</v>
      </c>
      <c r="AC29" s="2"/>
      <c r="AD29" s="1">
        <v>25</v>
      </c>
      <c r="AE29" s="2">
        <v>2.34</v>
      </c>
      <c r="AF29" s="2">
        <v>0.16</v>
      </c>
      <c r="AG29" s="2">
        <v>5</v>
      </c>
      <c r="AH29" s="2">
        <v>1</v>
      </c>
      <c r="AI29" s="2" t="s">
        <v>111</v>
      </c>
      <c r="AJ29" s="2" t="s">
        <v>63</v>
      </c>
      <c r="AK29" s="1">
        <v>0</v>
      </c>
      <c r="AL29" s="1">
        <v>0</v>
      </c>
      <c r="AM29" s="1">
        <v>0</v>
      </c>
      <c r="AN29" s="2">
        <v>0</v>
      </c>
      <c r="AO29" s="2" t="s">
        <v>60</v>
      </c>
      <c r="AP29" s="2">
        <v>0.5</v>
      </c>
      <c r="AQ29" s="2">
        <v>0.2</v>
      </c>
      <c r="AR29" s="2">
        <v>29.29</v>
      </c>
      <c r="AS29" s="2">
        <v>0.79</v>
      </c>
      <c r="AT29" s="2">
        <v>0</v>
      </c>
      <c r="AU29" s="1"/>
      <c r="AV29" s="1" t="s">
        <v>59</v>
      </c>
      <c r="AW29" s="1"/>
      <c r="AX29" s="1" t="s">
        <v>61</v>
      </c>
      <c r="AY29" s="1"/>
      <c r="AZ29" s="2">
        <v>5.58</v>
      </c>
      <c r="BA29" s="2">
        <v>2.14</v>
      </c>
      <c r="BB29" s="2">
        <v>1.8</v>
      </c>
      <c r="BC29" s="2" t="s">
        <v>62</v>
      </c>
      <c r="BD29" s="2" t="s">
        <v>225</v>
      </c>
      <c r="BE29" s="1"/>
      <c r="BF29" s="2">
        <v>0.10687027086303322</v>
      </c>
      <c r="BG29" s="2" t="s">
        <v>113</v>
      </c>
      <c r="BH29" s="2">
        <v>3.130000114440918</v>
      </c>
      <c r="BI29" s="1"/>
      <c r="BJ29" s="1"/>
      <c r="BK29" s="1"/>
    </row>
    <row r="30" spans="1:63" x14ac:dyDescent="0.25">
      <c r="A30" s="6" t="str">
        <f t="shared" si="0"/>
        <v>M23 Production Wellhead2</v>
      </c>
      <c r="B30" s="1" t="s">
        <v>226</v>
      </c>
      <c r="C30" s="1">
        <v>2</v>
      </c>
      <c r="D30" s="1" t="s">
        <v>136</v>
      </c>
      <c r="E30" s="1" t="s">
        <v>59</v>
      </c>
      <c r="F30" s="1" t="s">
        <v>199</v>
      </c>
      <c r="G30" s="1" t="s">
        <v>64</v>
      </c>
      <c r="H30" s="2" t="s">
        <v>227</v>
      </c>
      <c r="I30" s="1">
        <v>50</v>
      </c>
      <c r="J30" s="1">
        <v>60.3</v>
      </c>
      <c r="K30" s="1">
        <v>11</v>
      </c>
      <c r="L30" s="2">
        <v>8.6999999999999993</v>
      </c>
      <c r="M30" s="2">
        <v>2.2999999999999998</v>
      </c>
      <c r="N30" s="2"/>
      <c r="O30" s="2">
        <v>20.9</v>
      </c>
      <c r="P30" s="2" t="s">
        <v>228</v>
      </c>
      <c r="Q30" s="2">
        <v>2.14</v>
      </c>
      <c r="R30" s="2">
        <v>0.09</v>
      </c>
      <c r="S30" s="1"/>
      <c r="T30" s="2">
        <v>2</v>
      </c>
      <c r="U30" s="1">
        <v>1</v>
      </c>
      <c r="V30" s="1"/>
      <c r="W30" s="1" t="s">
        <v>110</v>
      </c>
      <c r="X30" s="1" t="s">
        <v>65</v>
      </c>
      <c r="Y30" s="1" t="s">
        <v>66</v>
      </c>
      <c r="Z30" s="2">
        <v>71.87</v>
      </c>
      <c r="AA30" s="2">
        <v>3.28</v>
      </c>
      <c r="AB30" s="2">
        <v>4.4800000000000004</v>
      </c>
      <c r="AC30" s="2"/>
      <c r="AD30" s="1">
        <v>25</v>
      </c>
      <c r="AE30" s="2">
        <v>2.87</v>
      </c>
      <c r="AF30" s="2">
        <v>0.18</v>
      </c>
      <c r="AG30" s="2">
        <v>5</v>
      </c>
      <c r="AH30" s="2">
        <v>1</v>
      </c>
      <c r="AI30" s="2" t="s">
        <v>111</v>
      </c>
      <c r="AJ30" s="2" t="s">
        <v>63</v>
      </c>
      <c r="AK30" s="1">
        <v>0</v>
      </c>
      <c r="AL30" s="1">
        <v>0</v>
      </c>
      <c r="AM30" s="1">
        <v>0</v>
      </c>
      <c r="AN30" s="2">
        <v>0</v>
      </c>
      <c r="AO30" s="2" t="s">
        <v>60</v>
      </c>
      <c r="AP30" s="2">
        <v>0.5</v>
      </c>
      <c r="AQ30" s="2">
        <v>0.2</v>
      </c>
      <c r="AR30" s="2">
        <v>35.94</v>
      </c>
      <c r="AS30" s="2">
        <v>0.9</v>
      </c>
      <c r="AT30" s="2">
        <v>0</v>
      </c>
      <c r="AU30" s="1"/>
      <c r="AV30" s="1" t="s">
        <v>59</v>
      </c>
      <c r="AW30" s="1"/>
      <c r="AX30" s="1" t="s">
        <v>61</v>
      </c>
      <c r="AY30" s="1"/>
      <c r="AZ30" s="2">
        <v>5.58</v>
      </c>
      <c r="BA30" s="2">
        <v>2.14</v>
      </c>
      <c r="BB30" s="2">
        <v>1.8</v>
      </c>
      <c r="BC30" s="2" t="s">
        <v>62</v>
      </c>
      <c r="BD30" s="2" t="s">
        <v>229</v>
      </c>
      <c r="BE30" s="1"/>
      <c r="BF30" s="2">
        <v>9.1269841269841265E-2</v>
      </c>
      <c r="BG30" s="2" t="s">
        <v>113</v>
      </c>
      <c r="BH30" s="2">
        <v>3.2799999713897705</v>
      </c>
      <c r="BI30" s="1"/>
      <c r="BJ30" s="1"/>
      <c r="BK30" s="1"/>
    </row>
    <row r="31" spans="1:63" x14ac:dyDescent="0.25">
      <c r="A31" s="6" t="str">
        <f t="shared" si="0"/>
        <v>M24 Production Wellhead2</v>
      </c>
      <c r="B31" s="1" t="s">
        <v>230</v>
      </c>
      <c r="C31" s="1">
        <v>2</v>
      </c>
      <c r="D31" s="1" t="s">
        <v>136</v>
      </c>
      <c r="E31" s="1" t="s">
        <v>59</v>
      </c>
      <c r="F31" s="1" t="s">
        <v>199</v>
      </c>
      <c r="G31" s="1" t="s">
        <v>64</v>
      </c>
      <c r="H31" s="2" t="s">
        <v>231</v>
      </c>
      <c r="I31" s="1">
        <v>50</v>
      </c>
      <c r="J31" s="1">
        <v>60.3</v>
      </c>
      <c r="K31" s="1">
        <v>10.5</v>
      </c>
      <c r="L31" s="2">
        <v>8.5</v>
      </c>
      <c r="M31" s="2">
        <v>2</v>
      </c>
      <c r="N31" s="2"/>
      <c r="O31" s="2">
        <v>19.04</v>
      </c>
      <c r="P31" s="2" t="s">
        <v>232</v>
      </c>
      <c r="Q31" s="2">
        <v>2.14</v>
      </c>
      <c r="R31" s="2">
        <v>7.0000000000000007E-2</v>
      </c>
      <c r="S31" s="1"/>
      <c r="T31" s="2">
        <v>2</v>
      </c>
      <c r="U31" s="1">
        <v>1</v>
      </c>
      <c r="V31" s="1"/>
      <c r="W31" s="1" t="s">
        <v>110</v>
      </c>
      <c r="X31" s="1" t="s">
        <v>65</v>
      </c>
      <c r="Y31" s="1" t="s">
        <v>66</v>
      </c>
      <c r="Z31" s="2">
        <v>80.12</v>
      </c>
      <c r="AA31" s="2">
        <v>3.18</v>
      </c>
      <c r="AB31" s="2">
        <v>4.28</v>
      </c>
      <c r="AC31" s="2"/>
      <c r="AD31" s="1">
        <v>25</v>
      </c>
      <c r="AE31" s="2">
        <v>3.2</v>
      </c>
      <c r="AF31" s="2">
        <v>0.17</v>
      </c>
      <c r="AG31" s="2">
        <v>5</v>
      </c>
      <c r="AH31" s="2">
        <v>1</v>
      </c>
      <c r="AI31" s="2" t="s">
        <v>111</v>
      </c>
      <c r="AJ31" s="2" t="s">
        <v>63</v>
      </c>
      <c r="AK31" s="1">
        <v>0</v>
      </c>
      <c r="AL31" s="1">
        <v>0</v>
      </c>
      <c r="AM31" s="1">
        <v>0</v>
      </c>
      <c r="AN31" s="2">
        <v>0</v>
      </c>
      <c r="AO31" s="2" t="s">
        <v>60</v>
      </c>
      <c r="AP31" s="2">
        <v>0.5</v>
      </c>
      <c r="AQ31" s="2">
        <v>0.2</v>
      </c>
      <c r="AR31" s="2">
        <v>40.06</v>
      </c>
      <c r="AS31" s="2">
        <v>0.86</v>
      </c>
      <c r="AT31" s="2">
        <v>0</v>
      </c>
      <c r="AU31" s="1"/>
      <c r="AV31" s="1" t="s">
        <v>59</v>
      </c>
      <c r="AW31" s="1"/>
      <c r="AX31" s="1" t="s">
        <v>61</v>
      </c>
      <c r="AY31" s="1"/>
      <c r="AZ31" s="2">
        <v>5.58</v>
      </c>
      <c r="BA31" s="2">
        <v>2.14</v>
      </c>
      <c r="BB31" s="2">
        <v>1.8</v>
      </c>
      <c r="BC31" s="2" t="s">
        <v>62</v>
      </c>
      <c r="BD31" s="2" t="s">
        <v>233</v>
      </c>
      <c r="BE31" s="1"/>
      <c r="BF31" s="2">
        <v>7.938234014789039E-2</v>
      </c>
      <c r="BG31" s="2" t="s">
        <v>113</v>
      </c>
      <c r="BH31" s="2">
        <v>3.1800000667572021</v>
      </c>
      <c r="BI31" s="1"/>
      <c r="BJ31" s="1"/>
      <c r="BK31" s="1"/>
    </row>
    <row r="32" spans="1:63" x14ac:dyDescent="0.25">
      <c r="A32" s="6" t="str">
        <f t="shared" si="0"/>
        <v>M26 Production Wellhead2</v>
      </c>
      <c r="B32" s="1" t="s">
        <v>234</v>
      </c>
      <c r="C32" s="1">
        <v>2</v>
      </c>
      <c r="D32" s="1" t="s">
        <v>141</v>
      </c>
      <c r="E32" s="1" t="s">
        <v>59</v>
      </c>
      <c r="F32" s="1" t="s">
        <v>199</v>
      </c>
      <c r="G32" s="1" t="s">
        <v>64</v>
      </c>
      <c r="H32" s="2" t="s">
        <v>235</v>
      </c>
      <c r="I32" s="1">
        <v>50</v>
      </c>
      <c r="J32" s="1">
        <v>60.3</v>
      </c>
      <c r="K32" s="1">
        <v>10</v>
      </c>
      <c r="L32" s="2">
        <v>7.5</v>
      </c>
      <c r="M32" s="2">
        <v>2.5</v>
      </c>
      <c r="N32" s="2"/>
      <c r="O32" s="2">
        <v>25</v>
      </c>
      <c r="P32" s="2" t="s">
        <v>236</v>
      </c>
      <c r="Q32" s="2">
        <v>2.14</v>
      </c>
      <c r="R32" s="2">
        <v>0.09</v>
      </c>
      <c r="S32" s="1"/>
      <c r="T32" s="2">
        <v>2</v>
      </c>
      <c r="U32" s="1">
        <v>1</v>
      </c>
      <c r="V32" s="1"/>
      <c r="W32" s="1" t="s">
        <v>110</v>
      </c>
      <c r="X32" s="1" t="s">
        <v>65</v>
      </c>
      <c r="Y32" s="1" t="s">
        <v>66</v>
      </c>
      <c r="Z32" s="2">
        <v>54.02</v>
      </c>
      <c r="AA32" s="2">
        <v>2.68</v>
      </c>
      <c r="AB32" s="2">
        <v>3.28</v>
      </c>
      <c r="AC32" s="2"/>
      <c r="AD32" s="1">
        <v>25</v>
      </c>
      <c r="AE32" s="2">
        <v>2.16</v>
      </c>
      <c r="AF32" s="2">
        <v>0.13</v>
      </c>
      <c r="AG32" s="2">
        <v>5</v>
      </c>
      <c r="AH32" s="2">
        <v>1</v>
      </c>
      <c r="AI32" s="2" t="s">
        <v>111</v>
      </c>
      <c r="AJ32" s="2" t="s">
        <v>63</v>
      </c>
      <c r="AK32" s="1">
        <v>0</v>
      </c>
      <c r="AL32" s="1">
        <v>0</v>
      </c>
      <c r="AM32" s="1">
        <v>0</v>
      </c>
      <c r="AN32" s="2">
        <v>0</v>
      </c>
      <c r="AO32" s="2" t="s">
        <v>60</v>
      </c>
      <c r="AP32" s="2">
        <v>0.5</v>
      </c>
      <c r="AQ32" s="2">
        <v>0.2</v>
      </c>
      <c r="AR32" s="2">
        <v>27.01</v>
      </c>
      <c r="AS32" s="2">
        <v>0.66</v>
      </c>
      <c r="AT32" s="2">
        <v>0</v>
      </c>
      <c r="AU32" s="1"/>
      <c r="AV32" s="1" t="s">
        <v>59</v>
      </c>
      <c r="AW32" s="1"/>
      <c r="AX32" s="1" t="s">
        <v>61</v>
      </c>
      <c r="AY32" s="1"/>
      <c r="AZ32" s="2">
        <v>5.58</v>
      </c>
      <c r="BA32" s="2">
        <v>2.14</v>
      </c>
      <c r="BB32" s="2">
        <v>1.8</v>
      </c>
      <c r="BC32" s="2" t="s">
        <v>62</v>
      </c>
      <c r="BD32" s="2" t="s">
        <v>237</v>
      </c>
      <c r="BE32" s="1"/>
      <c r="BF32" s="2">
        <v>9.9217136022616073E-2</v>
      </c>
      <c r="BG32" s="2" t="s">
        <v>113</v>
      </c>
      <c r="BH32" s="2">
        <v>2.6800000667572021</v>
      </c>
      <c r="BI32" s="1"/>
      <c r="BJ32" s="1"/>
      <c r="BK32" s="1"/>
    </row>
    <row r="33" spans="1:63" x14ac:dyDescent="0.25">
      <c r="A33" s="6" t="str">
        <f t="shared" si="0"/>
        <v>M27 Production Wellhead1</v>
      </c>
      <c r="B33" s="1" t="s">
        <v>238</v>
      </c>
      <c r="C33" s="1">
        <v>1</v>
      </c>
      <c r="D33" s="1" t="s">
        <v>141</v>
      </c>
      <c r="E33" s="1" t="s">
        <v>59</v>
      </c>
      <c r="F33" s="1" t="s">
        <v>199</v>
      </c>
      <c r="G33" s="1" t="s">
        <v>64</v>
      </c>
      <c r="H33" s="2" t="s">
        <v>235</v>
      </c>
      <c r="I33" s="1">
        <v>50</v>
      </c>
      <c r="J33" s="1">
        <v>60.3</v>
      </c>
      <c r="K33" s="1">
        <v>10.199999999999999</v>
      </c>
      <c r="L33" s="2">
        <v>7.7</v>
      </c>
      <c r="M33" s="2">
        <v>2.5</v>
      </c>
      <c r="N33" s="2"/>
      <c r="O33" s="2">
        <v>24.5</v>
      </c>
      <c r="P33" s="2" t="s">
        <v>239</v>
      </c>
      <c r="Q33" s="2">
        <v>2.14</v>
      </c>
      <c r="R33" s="2">
        <v>0.09</v>
      </c>
      <c r="S33" s="1"/>
      <c r="T33" s="2">
        <v>2</v>
      </c>
      <c r="U33" s="1">
        <v>1</v>
      </c>
      <c r="V33" s="1"/>
      <c r="W33" s="1" t="s">
        <v>110</v>
      </c>
      <c r="X33" s="1" t="s">
        <v>65</v>
      </c>
      <c r="Y33" s="1" t="s">
        <v>66</v>
      </c>
      <c r="Z33" s="2">
        <v>56.04</v>
      </c>
      <c r="AA33" s="2">
        <v>2.78</v>
      </c>
      <c r="AB33" s="2">
        <v>3.48</v>
      </c>
      <c r="AC33" s="2"/>
      <c r="AD33" s="1">
        <v>25</v>
      </c>
      <c r="AE33" s="2">
        <v>2.2400000000000002</v>
      </c>
      <c r="AF33" s="2">
        <v>0.14000000000000001</v>
      </c>
      <c r="AG33" s="2">
        <v>5</v>
      </c>
      <c r="AH33" s="2">
        <v>1</v>
      </c>
      <c r="AI33" s="2" t="s">
        <v>111</v>
      </c>
      <c r="AJ33" s="2" t="s">
        <v>63</v>
      </c>
      <c r="AK33" s="1">
        <v>0</v>
      </c>
      <c r="AL33" s="1">
        <v>0</v>
      </c>
      <c r="AM33" s="1">
        <v>0</v>
      </c>
      <c r="AN33" s="2">
        <v>0</v>
      </c>
      <c r="AO33" s="2" t="s">
        <v>60</v>
      </c>
      <c r="AP33" s="2">
        <v>0.5</v>
      </c>
      <c r="AQ33" s="2">
        <v>0.2</v>
      </c>
      <c r="AR33" s="2">
        <v>28.02</v>
      </c>
      <c r="AS33" s="2">
        <v>0.7</v>
      </c>
      <c r="AT33" s="2">
        <v>0</v>
      </c>
      <c r="AU33" s="1"/>
      <c r="AV33" s="1" t="s">
        <v>59</v>
      </c>
      <c r="AW33" s="1"/>
      <c r="AX33" s="1" t="s">
        <v>61</v>
      </c>
      <c r="AY33" s="1"/>
      <c r="AZ33" s="2">
        <v>5.58</v>
      </c>
      <c r="BA33" s="2">
        <v>2.14</v>
      </c>
      <c r="BB33" s="2">
        <v>1.8</v>
      </c>
      <c r="BC33" s="2" t="s">
        <v>62</v>
      </c>
      <c r="BD33" s="2" t="s">
        <v>240</v>
      </c>
      <c r="BE33" s="1"/>
      <c r="BF33" s="2">
        <v>9.9217136022616073E-2</v>
      </c>
      <c r="BG33" s="2" t="s">
        <v>113</v>
      </c>
      <c r="BH33" s="2">
        <v>2.7799999713897705</v>
      </c>
      <c r="BI33" s="1"/>
      <c r="BJ33" s="1"/>
      <c r="BK33" s="1"/>
    </row>
    <row r="34" spans="1:63" x14ac:dyDescent="0.25">
      <c r="A34" s="6" t="str">
        <f t="shared" si="0"/>
        <v>M84M Production Wellhead1</v>
      </c>
      <c r="B34" s="1" t="s">
        <v>241</v>
      </c>
      <c r="C34" s="1">
        <v>1</v>
      </c>
      <c r="D34" s="1" t="s">
        <v>106</v>
      </c>
      <c r="E34" s="1" t="s">
        <v>59</v>
      </c>
      <c r="F34" s="1" t="s">
        <v>173</v>
      </c>
      <c r="G34" s="1" t="s">
        <v>64</v>
      </c>
      <c r="H34" s="2" t="s">
        <v>242</v>
      </c>
      <c r="I34" s="1">
        <v>50</v>
      </c>
      <c r="J34" s="1">
        <v>60.3</v>
      </c>
      <c r="K34" s="1">
        <v>10.9</v>
      </c>
      <c r="L34" s="2">
        <v>8.8000000000000007</v>
      </c>
      <c r="M34" s="2">
        <v>2.1</v>
      </c>
      <c r="N34" s="2"/>
      <c r="O34" s="2">
        <v>19.260000000000002</v>
      </c>
      <c r="P34" s="2" t="s">
        <v>243</v>
      </c>
      <c r="Q34" s="2">
        <v>2.14</v>
      </c>
      <c r="R34" s="2">
        <v>0.08</v>
      </c>
      <c r="S34" s="1"/>
      <c r="T34" s="2">
        <v>2</v>
      </c>
      <c r="U34" s="1">
        <v>1</v>
      </c>
      <c r="V34" s="1"/>
      <c r="W34" s="1" t="s">
        <v>110</v>
      </c>
      <c r="X34" s="1" t="s">
        <v>65</v>
      </c>
      <c r="Y34" s="1" t="s">
        <v>66</v>
      </c>
      <c r="Z34" s="2">
        <v>80.12</v>
      </c>
      <c r="AA34" s="2">
        <v>3.33</v>
      </c>
      <c r="AB34" s="2">
        <v>4.6500000000000004</v>
      </c>
      <c r="AC34" s="2"/>
      <c r="AD34" s="1">
        <v>25</v>
      </c>
      <c r="AE34" s="2">
        <v>3.2</v>
      </c>
      <c r="AF34" s="2">
        <v>0.19</v>
      </c>
      <c r="AG34" s="2">
        <v>5</v>
      </c>
      <c r="AH34" s="2">
        <v>1</v>
      </c>
      <c r="AI34" s="2" t="s">
        <v>111</v>
      </c>
      <c r="AJ34" s="2" t="s">
        <v>63</v>
      </c>
      <c r="AK34" s="1">
        <v>0</v>
      </c>
      <c r="AL34" s="1">
        <v>0</v>
      </c>
      <c r="AM34" s="1">
        <v>0</v>
      </c>
      <c r="AN34" s="2">
        <v>0</v>
      </c>
      <c r="AO34" s="2" t="s">
        <v>60</v>
      </c>
      <c r="AP34" s="2">
        <v>0.5</v>
      </c>
      <c r="AQ34" s="2">
        <v>0.2</v>
      </c>
      <c r="AR34" s="2">
        <v>40.06</v>
      </c>
      <c r="AS34" s="2">
        <v>0.93</v>
      </c>
      <c r="AT34" s="2">
        <v>0</v>
      </c>
      <c r="AU34" s="1"/>
      <c r="AV34" s="1" t="s">
        <v>59</v>
      </c>
      <c r="AW34" s="1"/>
      <c r="AX34" s="1" t="s">
        <v>61</v>
      </c>
      <c r="AY34" s="1"/>
      <c r="AZ34" s="2">
        <v>5.58</v>
      </c>
      <c r="BA34" s="2">
        <v>2.14</v>
      </c>
      <c r="BB34" s="2">
        <v>1.8</v>
      </c>
      <c r="BC34" s="2" t="s">
        <v>62</v>
      </c>
      <c r="BD34" s="2" t="s">
        <v>244</v>
      </c>
      <c r="BE34" s="1"/>
      <c r="BF34" s="2">
        <v>8.3125474460470666E-2</v>
      </c>
      <c r="BG34" s="2" t="s">
        <v>113</v>
      </c>
      <c r="BH34" s="2">
        <v>3.3299999237060547</v>
      </c>
      <c r="BI34" s="1"/>
      <c r="BJ34" s="1"/>
      <c r="BK34" s="1"/>
    </row>
    <row r="35" spans="1:63" x14ac:dyDescent="0.25">
      <c r="A35" s="6" t="str">
        <f t="shared" si="0"/>
        <v>P21 Production Wellhead1</v>
      </c>
      <c r="B35" s="1" t="s">
        <v>245</v>
      </c>
      <c r="C35" s="1">
        <v>1</v>
      </c>
      <c r="D35" s="1" t="s">
        <v>141</v>
      </c>
      <c r="E35" s="1" t="s">
        <v>59</v>
      </c>
      <c r="F35" s="1" t="s">
        <v>220</v>
      </c>
      <c r="G35" s="1" t="s">
        <v>64</v>
      </c>
      <c r="H35" s="2" t="s">
        <v>246</v>
      </c>
      <c r="I35" s="1">
        <v>50</v>
      </c>
      <c r="J35" s="1">
        <v>60.3</v>
      </c>
      <c r="K35" s="1">
        <v>10.7</v>
      </c>
      <c r="L35" s="2">
        <v>8.6999999999999993</v>
      </c>
      <c r="M35" s="2">
        <v>2</v>
      </c>
      <c r="N35" s="2"/>
      <c r="O35" s="2">
        <v>18.690000000000001</v>
      </c>
      <c r="P35" s="2" t="s">
        <v>247</v>
      </c>
      <c r="Q35" s="2">
        <v>2.14</v>
      </c>
      <c r="R35" s="2">
        <v>7.0000000000000007E-2</v>
      </c>
      <c r="S35" s="1"/>
      <c r="T35" s="2">
        <v>2</v>
      </c>
      <c r="U35" s="1">
        <v>1</v>
      </c>
      <c r="V35" s="1"/>
      <c r="W35" s="1" t="s">
        <v>110</v>
      </c>
      <c r="X35" s="1" t="s">
        <v>65</v>
      </c>
      <c r="Y35" s="1" t="s">
        <v>66</v>
      </c>
      <c r="Z35" s="2">
        <v>82.61</v>
      </c>
      <c r="AA35" s="2">
        <v>3.28</v>
      </c>
      <c r="AB35" s="2">
        <v>4.47</v>
      </c>
      <c r="AC35" s="2"/>
      <c r="AD35" s="1">
        <v>25</v>
      </c>
      <c r="AE35" s="2">
        <v>3.3</v>
      </c>
      <c r="AF35" s="2">
        <v>0.18</v>
      </c>
      <c r="AG35" s="2">
        <v>5</v>
      </c>
      <c r="AH35" s="2">
        <v>1</v>
      </c>
      <c r="AI35" s="2" t="s">
        <v>111</v>
      </c>
      <c r="AJ35" s="2" t="s">
        <v>63</v>
      </c>
      <c r="AK35" s="1">
        <v>0</v>
      </c>
      <c r="AL35" s="1">
        <v>0</v>
      </c>
      <c r="AM35" s="1">
        <v>0</v>
      </c>
      <c r="AN35" s="2">
        <v>0</v>
      </c>
      <c r="AO35" s="2" t="s">
        <v>60</v>
      </c>
      <c r="AP35" s="2">
        <v>0.5</v>
      </c>
      <c r="AQ35" s="2">
        <v>0.2</v>
      </c>
      <c r="AR35" s="2">
        <v>41.3</v>
      </c>
      <c r="AS35" s="2">
        <v>0.89</v>
      </c>
      <c r="AT35" s="2">
        <v>0</v>
      </c>
      <c r="AU35" s="1"/>
      <c r="AV35" s="1" t="s">
        <v>59</v>
      </c>
      <c r="AW35" s="1"/>
      <c r="AX35" s="1" t="s">
        <v>61</v>
      </c>
      <c r="AY35" s="1"/>
      <c r="AZ35" s="2">
        <v>5.58</v>
      </c>
      <c r="BA35" s="2">
        <v>2.14</v>
      </c>
      <c r="BB35" s="2">
        <v>1.8</v>
      </c>
      <c r="BC35" s="2" t="s">
        <v>62</v>
      </c>
      <c r="BD35" s="2" t="s">
        <v>248</v>
      </c>
      <c r="BE35" s="1"/>
      <c r="BF35" s="2">
        <v>7.940824540411183E-2</v>
      </c>
      <c r="BG35" s="2" t="s">
        <v>113</v>
      </c>
      <c r="BH35" s="2">
        <v>3.2799999713897705</v>
      </c>
      <c r="BI35" s="1"/>
      <c r="BJ35" s="1"/>
      <c r="BK35" s="1"/>
    </row>
    <row r="36" spans="1:63" x14ac:dyDescent="0.25">
      <c r="A36" s="6" t="str">
        <f t="shared" si="0"/>
        <v>P23 Production Wellhead2</v>
      </c>
      <c r="B36" s="1" t="s">
        <v>249</v>
      </c>
      <c r="C36" s="1">
        <v>2</v>
      </c>
      <c r="D36" s="1" t="s">
        <v>125</v>
      </c>
      <c r="E36" s="1" t="s">
        <v>59</v>
      </c>
      <c r="F36" s="1" t="s">
        <v>173</v>
      </c>
      <c r="G36" s="1" t="s">
        <v>64</v>
      </c>
      <c r="H36" s="2" t="s">
        <v>250</v>
      </c>
      <c r="I36" s="1">
        <v>50</v>
      </c>
      <c r="J36" s="1">
        <v>60.3</v>
      </c>
      <c r="K36" s="1">
        <v>10.7</v>
      </c>
      <c r="L36" s="2">
        <v>8.6</v>
      </c>
      <c r="M36" s="2">
        <v>2.1</v>
      </c>
      <c r="N36" s="2"/>
      <c r="O36" s="2">
        <v>19.62</v>
      </c>
      <c r="P36" s="2" t="s">
        <v>251</v>
      </c>
      <c r="Q36" s="2">
        <v>2.14</v>
      </c>
      <c r="R36" s="2">
        <v>0.08</v>
      </c>
      <c r="S36" s="1"/>
      <c r="T36" s="2">
        <v>2</v>
      </c>
      <c r="U36" s="1">
        <v>1</v>
      </c>
      <c r="V36" s="1"/>
      <c r="W36" s="1" t="s">
        <v>110</v>
      </c>
      <c r="X36" s="1" t="s">
        <v>65</v>
      </c>
      <c r="Y36" s="1" t="s">
        <v>66</v>
      </c>
      <c r="Z36" s="2">
        <v>78.239999999999995</v>
      </c>
      <c r="AA36" s="2">
        <v>3.23</v>
      </c>
      <c r="AB36" s="2">
        <v>4.62</v>
      </c>
      <c r="AC36" s="2"/>
      <c r="AD36" s="1">
        <v>25</v>
      </c>
      <c r="AE36" s="2">
        <v>3.13</v>
      </c>
      <c r="AF36" s="2">
        <v>0.18</v>
      </c>
      <c r="AG36" s="2">
        <v>5</v>
      </c>
      <c r="AH36" s="2">
        <v>1</v>
      </c>
      <c r="AI36" s="2" t="s">
        <v>111</v>
      </c>
      <c r="AJ36" s="2" t="s">
        <v>63</v>
      </c>
      <c r="AK36" s="1">
        <v>0</v>
      </c>
      <c r="AL36" s="1">
        <v>0</v>
      </c>
      <c r="AM36" s="1">
        <v>0</v>
      </c>
      <c r="AN36" s="2">
        <v>0</v>
      </c>
      <c r="AO36" s="2" t="s">
        <v>60</v>
      </c>
      <c r="AP36" s="2">
        <v>0.5</v>
      </c>
      <c r="AQ36" s="2">
        <v>0.2</v>
      </c>
      <c r="AR36" s="2">
        <v>39.119999999999997</v>
      </c>
      <c r="AS36" s="2">
        <v>0.92</v>
      </c>
      <c r="AT36" s="2">
        <v>0</v>
      </c>
      <c r="AU36" s="1"/>
      <c r="AV36" s="1" t="s">
        <v>59</v>
      </c>
      <c r="AW36" s="1"/>
      <c r="AX36" s="1" t="s">
        <v>61</v>
      </c>
      <c r="AY36" s="1"/>
      <c r="AZ36" s="2">
        <v>5.58</v>
      </c>
      <c r="BA36" s="2">
        <v>2.14</v>
      </c>
      <c r="BB36" s="2">
        <v>1.8</v>
      </c>
      <c r="BC36" s="2" t="s">
        <v>62</v>
      </c>
      <c r="BD36" s="2" t="s">
        <v>252</v>
      </c>
      <c r="BE36" s="1"/>
      <c r="BF36" s="2">
        <v>8.2561395950021543E-2</v>
      </c>
      <c r="BG36" s="2" t="s">
        <v>113</v>
      </c>
      <c r="BH36" s="2">
        <v>3.2300000190734863</v>
      </c>
      <c r="BI36" s="1"/>
      <c r="BJ36" s="1"/>
      <c r="BK36" s="1"/>
    </row>
    <row r="37" spans="1:63" x14ac:dyDescent="0.25">
      <c r="A37" s="6" t="str">
        <f t="shared" si="0"/>
        <v>P24 Production Wellhead1</v>
      </c>
      <c r="B37" s="1" t="s">
        <v>253</v>
      </c>
      <c r="C37" s="1">
        <v>1</v>
      </c>
      <c r="D37" s="1" t="s">
        <v>141</v>
      </c>
      <c r="E37" s="1" t="s">
        <v>59</v>
      </c>
      <c r="F37" s="1" t="s">
        <v>220</v>
      </c>
      <c r="G37" s="1" t="s">
        <v>64</v>
      </c>
      <c r="H37" s="2" t="s">
        <v>246</v>
      </c>
      <c r="I37" s="1">
        <v>50</v>
      </c>
      <c r="J37" s="1">
        <v>60.3</v>
      </c>
      <c r="K37" s="1">
        <v>10.1</v>
      </c>
      <c r="L37" s="2">
        <v>7.9</v>
      </c>
      <c r="M37" s="2">
        <v>2.2000000000000002</v>
      </c>
      <c r="N37" s="2"/>
      <c r="O37" s="2">
        <v>21.78</v>
      </c>
      <c r="P37" s="2" t="s">
        <v>254</v>
      </c>
      <c r="Q37" s="2">
        <v>2.14</v>
      </c>
      <c r="R37" s="2">
        <v>0.08</v>
      </c>
      <c r="S37" s="1"/>
      <c r="T37" s="2">
        <v>2</v>
      </c>
      <c r="U37" s="1">
        <v>1</v>
      </c>
      <c r="V37" s="1"/>
      <c r="W37" s="1" t="s">
        <v>110</v>
      </c>
      <c r="X37" s="1" t="s">
        <v>65</v>
      </c>
      <c r="Y37" s="1" t="s">
        <v>66</v>
      </c>
      <c r="Z37" s="2">
        <v>65.94</v>
      </c>
      <c r="AA37" s="2">
        <v>2.88</v>
      </c>
      <c r="AB37" s="2">
        <v>3.67</v>
      </c>
      <c r="AC37" s="2"/>
      <c r="AD37" s="1">
        <v>25</v>
      </c>
      <c r="AE37" s="2">
        <v>2.64</v>
      </c>
      <c r="AF37" s="2">
        <v>0.15</v>
      </c>
      <c r="AG37" s="2">
        <v>5</v>
      </c>
      <c r="AH37" s="2">
        <v>1</v>
      </c>
      <c r="AI37" s="2" t="s">
        <v>111</v>
      </c>
      <c r="AJ37" s="2" t="s">
        <v>63</v>
      </c>
      <c r="AK37" s="1">
        <v>0</v>
      </c>
      <c r="AL37" s="1">
        <v>0</v>
      </c>
      <c r="AM37" s="1">
        <v>0</v>
      </c>
      <c r="AN37" s="2">
        <v>0</v>
      </c>
      <c r="AO37" s="2" t="s">
        <v>60</v>
      </c>
      <c r="AP37" s="2">
        <v>0.5</v>
      </c>
      <c r="AQ37" s="2">
        <v>0.2</v>
      </c>
      <c r="AR37" s="2">
        <v>32.97</v>
      </c>
      <c r="AS37" s="2">
        <v>0.73</v>
      </c>
      <c r="AT37" s="2">
        <v>0</v>
      </c>
      <c r="AU37" s="1"/>
      <c r="AV37" s="1" t="s">
        <v>59</v>
      </c>
      <c r="AW37" s="1"/>
      <c r="AX37" s="1" t="s">
        <v>61</v>
      </c>
      <c r="AY37" s="1"/>
      <c r="AZ37" s="2">
        <v>5.58</v>
      </c>
      <c r="BA37" s="2">
        <v>2.14</v>
      </c>
      <c r="BB37" s="2">
        <v>1.8</v>
      </c>
      <c r="BC37" s="2" t="s">
        <v>62</v>
      </c>
      <c r="BD37" s="2" t="s">
        <v>255</v>
      </c>
      <c r="BE37" s="1"/>
      <c r="BF37" s="2">
        <v>8.7349069944523017E-2</v>
      </c>
      <c r="BG37" s="2" t="s">
        <v>113</v>
      </c>
      <c r="BH37" s="2">
        <v>2.880000114440918</v>
      </c>
      <c r="BI37" s="1"/>
      <c r="BJ37" s="1"/>
      <c r="BK37" s="1"/>
    </row>
    <row r="38" spans="1:63" x14ac:dyDescent="0.25">
      <c r="A38" s="6" t="str">
        <f t="shared" si="0"/>
        <v>P46 Production Wellhead2</v>
      </c>
      <c r="B38" s="1" t="s">
        <v>256</v>
      </c>
      <c r="C38" s="1">
        <v>2</v>
      </c>
      <c r="D38" s="1" t="s">
        <v>136</v>
      </c>
      <c r="E38" s="1" t="s">
        <v>59</v>
      </c>
      <c r="F38" s="1" t="s">
        <v>199</v>
      </c>
      <c r="G38" s="1" t="s">
        <v>64</v>
      </c>
      <c r="H38" s="2" t="s">
        <v>257</v>
      </c>
      <c r="I38" s="1">
        <v>50</v>
      </c>
      <c r="J38" s="1">
        <v>60.3</v>
      </c>
      <c r="K38" s="1">
        <v>10.3</v>
      </c>
      <c r="L38" s="2">
        <v>8</v>
      </c>
      <c r="M38" s="2">
        <v>2.2999999999999998</v>
      </c>
      <c r="N38" s="2"/>
      <c r="O38" s="2">
        <v>22.33</v>
      </c>
      <c r="P38" s="2" t="s">
        <v>258</v>
      </c>
      <c r="Q38" s="2">
        <v>2.14</v>
      </c>
      <c r="R38" s="2">
        <v>0.09</v>
      </c>
      <c r="S38" s="1"/>
      <c r="T38" s="2">
        <v>2</v>
      </c>
      <c r="U38" s="1">
        <v>1</v>
      </c>
      <c r="V38" s="1"/>
      <c r="W38" s="1" t="s">
        <v>110</v>
      </c>
      <c r="X38" s="1" t="s">
        <v>65</v>
      </c>
      <c r="Y38" s="1" t="s">
        <v>66</v>
      </c>
      <c r="Z38" s="2">
        <v>64.180000000000007</v>
      </c>
      <c r="AA38" s="2">
        <v>2.93</v>
      </c>
      <c r="AB38" s="2">
        <v>3.77</v>
      </c>
      <c r="AC38" s="2"/>
      <c r="AD38" s="1">
        <v>25</v>
      </c>
      <c r="AE38" s="2">
        <v>2.57</v>
      </c>
      <c r="AF38" s="2">
        <v>0.15</v>
      </c>
      <c r="AG38" s="2">
        <v>5</v>
      </c>
      <c r="AH38" s="2">
        <v>1</v>
      </c>
      <c r="AI38" s="2" t="s">
        <v>111</v>
      </c>
      <c r="AJ38" s="2" t="s">
        <v>63</v>
      </c>
      <c r="AK38" s="1">
        <v>0</v>
      </c>
      <c r="AL38" s="1">
        <v>0</v>
      </c>
      <c r="AM38" s="1">
        <v>0</v>
      </c>
      <c r="AN38" s="2">
        <v>0</v>
      </c>
      <c r="AO38" s="2" t="s">
        <v>60</v>
      </c>
      <c r="AP38" s="2">
        <v>0.5</v>
      </c>
      <c r="AQ38" s="2">
        <v>0.2</v>
      </c>
      <c r="AR38" s="2">
        <v>32.090000000000003</v>
      </c>
      <c r="AS38" s="2">
        <v>0.75</v>
      </c>
      <c r="AT38" s="2">
        <v>0</v>
      </c>
      <c r="AU38" s="1"/>
      <c r="AV38" s="1" t="s">
        <v>59</v>
      </c>
      <c r="AW38" s="1"/>
      <c r="AX38" s="1" t="s">
        <v>61</v>
      </c>
      <c r="AY38" s="1"/>
      <c r="AZ38" s="2">
        <v>5.58</v>
      </c>
      <c r="BA38" s="2">
        <v>2.14</v>
      </c>
      <c r="BB38" s="2">
        <v>1.8</v>
      </c>
      <c r="BC38" s="2" t="s">
        <v>62</v>
      </c>
      <c r="BD38" s="2" t="s">
        <v>185</v>
      </c>
      <c r="BE38" s="1"/>
      <c r="BF38" s="2">
        <v>9.1309549706330206E-2</v>
      </c>
      <c r="BG38" s="2" t="s">
        <v>113</v>
      </c>
      <c r="BH38" s="2">
        <v>2.9300000667572021</v>
      </c>
      <c r="BI38" s="1"/>
      <c r="BJ38" s="1"/>
      <c r="BK38" s="1"/>
    </row>
    <row r="39" spans="1:63" x14ac:dyDescent="0.25">
      <c r="A39" s="6" t="str">
        <f t="shared" si="0"/>
        <v>P66 Production Wellhead2</v>
      </c>
      <c r="B39" s="1" t="s">
        <v>259</v>
      </c>
      <c r="C39" s="1">
        <v>2</v>
      </c>
      <c r="D39" s="1" t="s">
        <v>136</v>
      </c>
      <c r="E39" s="1" t="s">
        <v>59</v>
      </c>
      <c r="F39" s="1" t="s">
        <v>199</v>
      </c>
      <c r="G39" s="1" t="s">
        <v>64</v>
      </c>
      <c r="H39" s="2" t="s">
        <v>235</v>
      </c>
      <c r="I39" s="1">
        <v>50</v>
      </c>
      <c r="J39" s="1">
        <v>60.3</v>
      </c>
      <c r="K39" s="1">
        <v>10.7</v>
      </c>
      <c r="L39" s="2">
        <v>8.5</v>
      </c>
      <c r="M39" s="2">
        <v>2.2000000000000002</v>
      </c>
      <c r="N39" s="2"/>
      <c r="O39" s="2">
        <v>20.56</v>
      </c>
      <c r="P39" s="2" t="s">
        <v>260</v>
      </c>
      <c r="Q39" s="2">
        <v>2.14</v>
      </c>
      <c r="R39" s="2">
        <v>0.08</v>
      </c>
      <c r="S39" s="1"/>
      <c r="T39" s="2">
        <v>2</v>
      </c>
      <c r="U39" s="1">
        <v>1</v>
      </c>
      <c r="V39" s="1"/>
      <c r="W39" s="1" t="s">
        <v>110</v>
      </c>
      <c r="X39" s="1" t="s">
        <v>65</v>
      </c>
      <c r="Y39" s="1" t="s">
        <v>66</v>
      </c>
      <c r="Z39" s="2">
        <v>72.84</v>
      </c>
      <c r="AA39" s="2">
        <v>3.18</v>
      </c>
      <c r="AB39" s="2">
        <v>4.28</v>
      </c>
      <c r="AC39" s="2"/>
      <c r="AD39" s="1">
        <v>25</v>
      </c>
      <c r="AE39" s="2">
        <v>2.91</v>
      </c>
      <c r="AF39" s="2">
        <v>0.17</v>
      </c>
      <c r="AG39" s="2">
        <v>5</v>
      </c>
      <c r="AH39" s="2">
        <v>1</v>
      </c>
      <c r="AI39" s="2" t="s">
        <v>111</v>
      </c>
      <c r="AJ39" s="2" t="s">
        <v>63</v>
      </c>
      <c r="AK39" s="1">
        <v>0</v>
      </c>
      <c r="AL39" s="1">
        <v>0</v>
      </c>
      <c r="AM39" s="1">
        <v>0</v>
      </c>
      <c r="AN39" s="2">
        <v>0</v>
      </c>
      <c r="AO39" s="2" t="s">
        <v>60</v>
      </c>
      <c r="AP39" s="2">
        <v>0.5</v>
      </c>
      <c r="AQ39" s="2">
        <v>0.2</v>
      </c>
      <c r="AR39" s="2">
        <v>36.42</v>
      </c>
      <c r="AS39" s="2">
        <v>0.86</v>
      </c>
      <c r="AT39" s="2">
        <v>0</v>
      </c>
      <c r="AU39" s="1"/>
      <c r="AV39" s="1" t="s">
        <v>59</v>
      </c>
      <c r="AW39" s="1"/>
      <c r="AX39" s="1" t="s">
        <v>61</v>
      </c>
      <c r="AY39" s="1"/>
      <c r="AZ39" s="2">
        <v>5.58</v>
      </c>
      <c r="BA39" s="2">
        <v>2.14</v>
      </c>
      <c r="BB39" s="2">
        <v>1.8</v>
      </c>
      <c r="BC39" s="2" t="s">
        <v>62</v>
      </c>
      <c r="BD39" s="2" t="s">
        <v>233</v>
      </c>
      <c r="BE39" s="1"/>
      <c r="BF39" s="2">
        <v>8.731107969990215E-2</v>
      </c>
      <c r="BG39" s="2" t="s">
        <v>113</v>
      </c>
      <c r="BH39" s="2">
        <v>3.1800000667572021</v>
      </c>
      <c r="BI39" s="1"/>
      <c r="BJ39" s="1"/>
      <c r="BK39" s="1"/>
    </row>
    <row r="40" spans="1:63" x14ac:dyDescent="0.25">
      <c r="A40" s="6" t="str">
        <f t="shared" si="0"/>
        <v>P71A Production Wellhead1</v>
      </c>
      <c r="B40" s="1" t="s">
        <v>261</v>
      </c>
      <c r="C40" s="1">
        <v>1</v>
      </c>
      <c r="D40" s="1" t="s">
        <v>106</v>
      </c>
      <c r="E40" s="1" t="s">
        <v>59</v>
      </c>
      <c r="F40" s="1" t="s">
        <v>173</v>
      </c>
      <c r="G40" s="1" t="s">
        <v>64</v>
      </c>
      <c r="H40" s="2" t="s">
        <v>262</v>
      </c>
      <c r="I40" s="1">
        <v>50</v>
      </c>
      <c r="J40" s="1">
        <v>60.3</v>
      </c>
      <c r="K40" s="1">
        <v>10.4</v>
      </c>
      <c r="L40" s="2">
        <v>8</v>
      </c>
      <c r="M40" s="2">
        <v>2.4</v>
      </c>
      <c r="N40" s="2"/>
      <c r="O40" s="2">
        <v>23.07</v>
      </c>
      <c r="P40" s="2" t="s">
        <v>263</v>
      </c>
      <c r="Q40" s="2">
        <v>2.14</v>
      </c>
      <c r="R40" s="2">
        <v>0.09</v>
      </c>
      <c r="S40" s="1"/>
      <c r="T40" s="2">
        <v>2</v>
      </c>
      <c r="U40" s="1">
        <v>1</v>
      </c>
      <c r="V40" s="1"/>
      <c r="W40" s="1" t="s">
        <v>110</v>
      </c>
      <c r="X40" s="1" t="s">
        <v>65</v>
      </c>
      <c r="Y40" s="1" t="s">
        <v>66</v>
      </c>
      <c r="Z40" s="2">
        <v>62.13</v>
      </c>
      <c r="AA40" s="2">
        <v>2.93</v>
      </c>
      <c r="AB40" s="2">
        <v>4.03</v>
      </c>
      <c r="AC40" s="2"/>
      <c r="AD40" s="1">
        <v>25</v>
      </c>
      <c r="AE40" s="2">
        <v>2.4900000000000002</v>
      </c>
      <c r="AF40" s="2">
        <v>0.16</v>
      </c>
      <c r="AG40" s="2">
        <v>5</v>
      </c>
      <c r="AH40" s="2">
        <v>1</v>
      </c>
      <c r="AI40" s="2" t="s">
        <v>111</v>
      </c>
      <c r="AJ40" s="2" t="s">
        <v>63</v>
      </c>
      <c r="AK40" s="1">
        <v>0</v>
      </c>
      <c r="AL40" s="1">
        <v>0</v>
      </c>
      <c r="AM40" s="1">
        <v>0</v>
      </c>
      <c r="AN40" s="2">
        <v>0</v>
      </c>
      <c r="AO40" s="2" t="s">
        <v>60</v>
      </c>
      <c r="AP40" s="2">
        <v>0.5</v>
      </c>
      <c r="AQ40" s="2">
        <v>0.2</v>
      </c>
      <c r="AR40" s="2">
        <v>31.07</v>
      </c>
      <c r="AS40" s="2">
        <v>0.81</v>
      </c>
      <c r="AT40" s="2">
        <v>0</v>
      </c>
      <c r="AU40" s="1"/>
      <c r="AV40" s="1" t="s">
        <v>59</v>
      </c>
      <c r="AW40" s="1"/>
      <c r="AX40" s="1" t="s">
        <v>61</v>
      </c>
      <c r="AY40" s="1"/>
      <c r="AZ40" s="2">
        <v>5.58</v>
      </c>
      <c r="BA40" s="2">
        <v>2.14</v>
      </c>
      <c r="BB40" s="2">
        <v>1.8</v>
      </c>
      <c r="BC40" s="2" t="s">
        <v>62</v>
      </c>
      <c r="BD40" s="2" t="s">
        <v>264</v>
      </c>
      <c r="BE40" s="1"/>
      <c r="BF40" s="2">
        <v>9.4325401098309461E-2</v>
      </c>
      <c r="BG40" s="2" t="s">
        <v>113</v>
      </c>
      <c r="BH40" s="2">
        <v>2.9300000667572021</v>
      </c>
      <c r="BI40" s="1"/>
      <c r="BJ40" s="1"/>
      <c r="BK40" s="1"/>
    </row>
    <row r="41" spans="1:63" x14ac:dyDescent="0.25">
      <c r="A41" s="6" t="str">
        <f t="shared" si="0"/>
        <v>P71A Production Wellhead2</v>
      </c>
      <c r="B41" s="1" t="s">
        <v>261</v>
      </c>
      <c r="C41" s="1">
        <v>2</v>
      </c>
      <c r="D41" s="1" t="s">
        <v>125</v>
      </c>
      <c r="E41" s="1" t="s">
        <v>59</v>
      </c>
      <c r="F41" s="1" t="s">
        <v>173</v>
      </c>
      <c r="G41" s="1" t="s">
        <v>64</v>
      </c>
      <c r="H41" s="2" t="s">
        <v>262</v>
      </c>
      <c r="I41" s="1">
        <v>50</v>
      </c>
      <c r="J41" s="1">
        <v>60.3</v>
      </c>
      <c r="K41" s="1">
        <v>10.8</v>
      </c>
      <c r="L41" s="2">
        <v>8.4</v>
      </c>
      <c r="M41" s="2">
        <v>2.4</v>
      </c>
      <c r="N41" s="2"/>
      <c r="O41" s="2">
        <v>22.22</v>
      </c>
      <c r="P41" s="2" t="s">
        <v>265</v>
      </c>
      <c r="Q41" s="2">
        <v>2.14</v>
      </c>
      <c r="R41" s="2">
        <v>0.09</v>
      </c>
      <c r="S41" s="1"/>
      <c r="T41" s="2">
        <v>2</v>
      </c>
      <c r="U41" s="1">
        <v>1</v>
      </c>
      <c r="V41" s="1"/>
      <c r="W41" s="1" t="s">
        <v>110</v>
      </c>
      <c r="X41" s="1" t="s">
        <v>65</v>
      </c>
      <c r="Y41" s="1" t="s">
        <v>66</v>
      </c>
      <c r="Z41" s="2">
        <v>66.37</v>
      </c>
      <c r="AA41" s="2">
        <v>3.13</v>
      </c>
      <c r="AB41" s="2">
        <v>4.43</v>
      </c>
      <c r="AC41" s="2"/>
      <c r="AD41" s="1">
        <v>25</v>
      </c>
      <c r="AE41" s="2">
        <v>2.65</v>
      </c>
      <c r="AF41" s="2">
        <v>0.18</v>
      </c>
      <c r="AG41" s="2">
        <v>5</v>
      </c>
      <c r="AH41" s="2">
        <v>1</v>
      </c>
      <c r="AI41" s="2" t="s">
        <v>111</v>
      </c>
      <c r="AJ41" s="2" t="s">
        <v>63</v>
      </c>
      <c r="AK41" s="1">
        <v>0</v>
      </c>
      <c r="AL41" s="1">
        <v>0</v>
      </c>
      <c r="AM41" s="1">
        <v>0</v>
      </c>
      <c r="AN41" s="2">
        <v>0</v>
      </c>
      <c r="AO41" s="2" t="s">
        <v>60</v>
      </c>
      <c r="AP41" s="2">
        <v>0.5</v>
      </c>
      <c r="AQ41" s="2">
        <v>0.2</v>
      </c>
      <c r="AR41" s="2">
        <v>33.19</v>
      </c>
      <c r="AS41" s="2">
        <v>0.89</v>
      </c>
      <c r="AT41" s="2">
        <v>0</v>
      </c>
      <c r="AU41" s="1"/>
      <c r="AV41" s="1" t="s">
        <v>59</v>
      </c>
      <c r="AW41" s="1"/>
      <c r="AX41" s="1" t="s">
        <v>61</v>
      </c>
      <c r="AY41" s="1"/>
      <c r="AZ41" s="2">
        <v>5.58</v>
      </c>
      <c r="BA41" s="2">
        <v>2.14</v>
      </c>
      <c r="BB41" s="2">
        <v>1.8</v>
      </c>
      <c r="BC41" s="2" t="s">
        <v>62</v>
      </c>
      <c r="BD41" s="2" t="s">
        <v>266</v>
      </c>
      <c r="BE41" s="1"/>
      <c r="BF41" s="2">
        <v>9.4325401098309461E-2</v>
      </c>
      <c r="BG41" s="2" t="s">
        <v>113</v>
      </c>
      <c r="BH41" s="2">
        <v>3.130000114440918</v>
      </c>
      <c r="BI41" s="1"/>
      <c r="BJ41" s="1"/>
      <c r="BK41" s="1"/>
    </row>
    <row r="42" spans="1:63" x14ac:dyDescent="0.25">
      <c r="A42" s="6" t="str">
        <f t="shared" si="0"/>
        <v>P81 Production Wellhead2</v>
      </c>
      <c r="B42" s="1" t="s">
        <v>267</v>
      </c>
      <c r="C42" s="1">
        <v>2</v>
      </c>
      <c r="D42" s="1" t="s">
        <v>136</v>
      </c>
      <c r="E42" s="1" t="s">
        <v>59</v>
      </c>
      <c r="F42" s="1" t="s">
        <v>199</v>
      </c>
      <c r="G42" s="1" t="s">
        <v>64</v>
      </c>
      <c r="H42" s="2" t="s">
        <v>268</v>
      </c>
      <c r="I42" s="1">
        <v>50</v>
      </c>
      <c r="J42" s="1">
        <v>60.3</v>
      </c>
      <c r="K42" s="1">
        <v>10.5</v>
      </c>
      <c r="L42" s="2">
        <v>8.5</v>
      </c>
      <c r="M42" s="2">
        <v>2</v>
      </c>
      <c r="N42" s="2"/>
      <c r="O42" s="2">
        <v>19.04</v>
      </c>
      <c r="P42" s="2" t="s">
        <v>269</v>
      </c>
      <c r="Q42" s="2">
        <v>2.14</v>
      </c>
      <c r="R42" s="2">
        <v>7.0000000000000007E-2</v>
      </c>
      <c r="S42" s="1"/>
      <c r="T42" s="2">
        <v>2</v>
      </c>
      <c r="U42" s="1">
        <v>1</v>
      </c>
      <c r="V42" s="1"/>
      <c r="W42" s="1" t="s">
        <v>110</v>
      </c>
      <c r="X42" s="1" t="s">
        <v>65</v>
      </c>
      <c r="Y42" s="1" t="s">
        <v>66</v>
      </c>
      <c r="Z42" s="2">
        <v>80.11</v>
      </c>
      <c r="AA42" s="2">
        <v>3.18</v>
      </c>
      <c r="AB42" s="2">
        <v>4.28</v>
      </c>
      <c r="AC42" s="2"/>
      <c r="AD42" s="1">
        <v>25</v>
      </c>
      <c r="AE42" s="2">
        <v>3.2</v>
      </c>
      <c r="AF42" s="2">
        <v>0.17</v>
      </c>
      <c r="AG42" s="2">
        <v>5</v>
      </c>
      <c r="AH42" s="2">
        <v>1</v>
      </c>
      <c r="AI42" s="2" t="s">
        <v>111</v>
      </c>
      <c r="AJ42" s="2" t="s">
        <v>63</v>
      </c>
      <c r="AK42" s="1">
        <v>0</v>
      </c>
      <c r="AL42" s="1">
        <v>0</v>
      </c>
      <c r="AM42" s="1">
        <v>0</v>
      </c>
      <c r="AN42" s="2">
        <v>0</v>
      </c>
      <c r="AO42" s="2" t="s">
        <v>60</v>
      </c>
      <c r="AP42" s="2">
        <v>0.5</v>
      </c>
      <c r="AQ42" s="2">
        <v>0.2</v>
      </c>
      <c r="AR42" s="2">
        <v>40.049999999999997</v>
      </c>
      <c r="AS42" s="2">
        <v>0.86</v>
      </c>
      <c r="AT42" s="2">
        <v>0</v>
      </c>
      <c r="AU42" s="1"/>
      <c r="AV42" s="1" t="s">
        <v>59</v>
      </c>
      <c r="AW42" s="1"/>
      <c r="AX42" s="1" t="s">
        <v>61</v>
      </c>
      <c r="AY42" s="1"/>
      <c r="AZ42" s="2">
        <v>5.58</v>
      </c>
      <c r="BA42" s="2">
        <v>2.14</v>
      </c>
      <c r="BB42" s="2">
        <v>1.8</v>
      </c>
      <c r="BC42" s="2" t="s">
        <v>62</v>
      </c>
      <c r="BD42" s="2" t="s">
        <v>233</v>
      </c>
      <c r="BE42" s="1"/>
      <c r="BF42" s="2">
        <v>7.9390973355084285E-2</v>
      </c>
      <c r="BG42" s="2" t="s">
        <v>113</v>
      </c>
      <c r="BH42" s="2">
        <v>3.1800000667572021</v>
      </c>
      <c r="BI42" s="1"/>
      <c r="BJ42" s="1"/>
      <c r="BK42" s="1"/>
    </row>
    <row r="43" spans="1:63" x14ac:dyDescent="0.25">
      <c r="A43" s="6" t="str">
        <f t="shared" si="0"/>
        <v>P86 Production Wellhead2</v>
      </c>
      <c r="B43" s="1" t="s">
        <v>270</v>
      </c>
      <c r="C43" s="1">
        <v>2</v>
      </c>
      <c r="D43" s="1" t="s">
        <v>141</v>
      </c>
      <c r="E43" s="1" t="s">
        <v>59</v>
      </c>
      <c r="F43" s="1" t="s">
        <v>220</v>
      </c>
      <c r="G43" s="1" t="s">
        <v>64</v>
      </c>
      <c r="H43" s="2" t="s">
        <v>268</v>
      </c>
      <c r="I43" s="1">
        <v>50</v>
      </c>
      <c r="J43" s="1">
        <v>60.3</v>
      </c>
      <c r="K43" s="1">
        <v>10.3</v>
      </c>
      <c r="L43" s="2">
        <v>8.1</v>
      </c>
      <c r="M43" s="2">
        <v>2.2000000000000002</v>
      </c>
      <c r="N43" s="2"/>
      <c r="O43" s="2">
        <v>21.35</v>
      </c>
      <c r="P43" s="2" t="s">
        <v>271</v>
      </c>
      <c r="Q43" s="2">
        <v>2.14</v>
      </c>
      <c r="R43" s="2">
        <v>0.08</v>
      </c>
      <c r="S43" s="1"/>
      <c r="T43" s="2">
        <v>2</v>
      </c>
      <c r="U43" s="1">
        <v>1</v>
      </c>
      <c r="V43" s="1"/>
      <c r="W43" s="1" t="s">
        <v>110</v>
      </c>
      <c r="X43" s="1" t="s">
        <v>65</v>
      </c>
      <c r="Y43" s="1" t="s">
        <v>66</v>
      </c>
      <c r="Z43" s="2">
        <v>68.25</v>
      </c>
      <c r="AA43" s="2">
        <v>2.98</v>
      </c>
      <c r="AB43" s="2">
        <v>3.88</v>
      </c>
      <c r="AC43" s="2"/>
      <c r="AD43" s="1">
        <v>25</v>
      </c>
      <c r="AE43" s="2">
        <v>2.73</v>
      </c>
      <c r="AF43" s="2">
        <v>0.16</v>
      </c>
      <c r="AG43" s="2">
        <v>5</v>
      </c>
      <c r="AH43" s="2">
        <v>1</v>
      </c>
      <c r="AI43" s="2" t="s">
        <v>111</v>
      </c>
      <c r="AJ43" s="2" t="s">
        <v>63</v>
      </c>
      <c r="AK43" s="1">
        <v>0</v>
      </c>
      <c r="AL43" s="1">
        <v>0</v>
      </c>
      <c r="AM43" s="1">
        <v>0</v>
      </c>
      <c r="AN43" s="2">
        <v>0</v>
      </c>
      <c r="AO43" s="2" t="s">
        <v>60</v>
      </c>
      <c r="AP43" s="2">
        <v>0.5</v>
      </c>
      <c r="AQ43" s="2">
        <v>0.2</v>
      </c>
      <c r="AR43" s="2">
        <v>34.119999999999997</v>
      </c>
      <c r="AS43" s="2">
        <v>0.78</v>
      </c>
      <c r="AT43" s="2">
        <v>0</v>
      </c>
      <c r="AU43" s="1"/>
      <c r="AV43" s="1" t="s">
        <v>59</v>
      </c>
      <c r="AW43" s="1"/>
      <c r="AX43" s="1" t="s">
        <v>61</v>
      </c>
      <c r="AY43" s="1"/>
      <c r="AZ43" s="2">
        <v>5.58</v>
      </c>
      <c r="BA43" s="2">
        <v>2.14</v>
      </c>
      <c r="BB43" s="2">
        <v>1.8</v>
      </c>
      <c r="BC43" s="2" t="s">
        <v>62</v>
      </c>
      <c r="BD43" s="2" t="s">
        <v>272</v>
      </c>
      <c r="BE43" s="1"/>
      <c r="BF43" s="2">
        <v>8.7330070690592718E-2</v>
      </c>
      <c r="BG43" s="2" t="s">
        <v>113</v>
      </c>
      <c r="BH43" s="2">
        <v>2.9800000190734863</v>
      </c>
      <c r="BI43" s="1"/>
      <c r="BJ43" s="1"/>
      <c r="BK43" s="1"/>
    </row>
    <row r="44" spans="1:63" x14ac:dyDescent="0.25">
      <c r="A44" s="6" t="str">
        <f t="shared" si="0"/>
        <v>Q45 Production Wellhead1</v>
      </c>
      <c r="B44" s="1" t="s">
        <v>273</v>
      </c>
      <c r="C44" s="1">
        <v>1</v>
      </c>
      <c r="D44" s="1" t="s">
        <v>106</v>
      </c>
      <c r="E44" s="1" t="s">
        <v>59</v>
      </c>
      <c r="F44" s="1" t="s">
        <v>274</v>
      </c>
      <c r="G44" s="1" t="s">
        <v>64</v>
      </c>
      <c r="H44" s="2" t="s">
        <v>275</v>
      </c>
      <c r="I44" s="1">
        <v>50</v>
      </c>
      <c r="J44" s="1">
        <v>60.3</v>
      </c>
      <c r="K44" s="1">
        <v>11.6</v>
      </c>
      <c r="L44" s="2">
        <v>9.3000000000000007</v>
      </c>
      <c r="M44" s="2">
        <v>2.2999999999999998</v>
      </c>
      <c r="N44" s="2"/>
      <c r="O44" s="2">
        <v>19.82</v>
      </c>
      <c r="P44" s="2" t="s">
        <v>276</v>
      </c>
      <c r="Q44" s="2">
        <v>2.14</v>
      </c>
      <c r="R44" s="2">
        <v>0.09</v>
      </c>
      <c r="S44" s="1"/>
      <c r="T44" s="2">
        <v>2</v>
      </c>
      <c r="U44" s="1">
        <v>1</v>
      </c>
      <c r="V44" s="1"/>
      <c r="W44" s="1" t="s">
        <v>110</v>
      </c>
      <c r="X44" s="1" t="s">
        <v>65</v>
      </c>
      <c r="Y44" s="1" t="s">
        <v>66</v>
      </c>
      <c r="Z44" s="2">
        <v>78.349999999999994</v>
      </c>
      <c r="AA44" s="2">
        <v>3.58</v>
      </c>
      <c r="AB44" s="2">
        <v>5.05</v>
      </c>
      <c r="AC44" s="2"/>
      <c r="AD44" s="1">
        <v>25</v>
      </c>
      <c r="AE44" s="2">
        <v>3.13</v>
      </c>
      <c r="AF44" s="2">
        <v>0.2</v>
      </c>
      <c r="AG44" s="2">
        <v>5</v>
      </c>
      <c r="AH44" s="2">
        <v>1</v>
      </c>
      <c r="AI44" s="2" t="s">
        <v>111</v>
      </c>
      <c r="AJ44" s="2" t="s">
        <v>63</v>
      </c>
      <c r="AK44" s="1">
        <v>0</v>
      </c>
      <c r="AL44" s="1">
        <v>0</v>
      </c>
      <c r="AM44" s="1">
        <v>0</v>
      </c>
      <c r="AN44" s="2">
        <v>0</v>
      </c>
      <c r="AO44" s="2" t="s">
        <v>60</v>
      </c>
      <c r="AP44" s="2">
        <v>0.5</v>
      </c>
      <c r="AQ44" s="2">
        <v>0.2</v>
      </c>
      <c r="AR44" s="2">
        <v>39.17</v>
      </c>
      <c r="AS44" s="2">
        <v>1.01</v>
      </c>
      <c r="AT44" s="2">
        <v>0</v>
      </c>
      <c r="AU44" s="1"/>
      <c r="AV44" s="1" t="s">
        <v>59</v>
      </c>
      <c r="AW44" s="1"/>
      <c r="AX44" s="1" t="s">
        <v>61</v>
      </c>
      <c r="AY44" s="1"/>
      <c r="AZ44" s="2">
        <v>5.58</v>
      </c>
      <c r="BA44" s="2">
        <v>2.14</v>
      </c>
      <c r="BB44" s="2">
        <v>1.8</v>
      </c>
      <c r="BC44" s="2" t="s">
        <v>62</v>
      </c>
      <c r="BD44" s="2" t="s">
        <v>277</v>
      </c>
      <c r="BE44" s="1"/>
      <c r="BF44" s="2">
        <v>9.1379122673342764E-2</v>
      </c>
      <c r="BG44" s="2" t="s">
        <v>113</v>
      </c>
      <c r="BH44" s="2">
        <v>3.5799999237060547</v>
      </c>
      <c r="BI44" s="1"/>
      <c r="BJ44" s="1"/>
      <c r="BK44" s="1"/>
    </row>
    <row r="45" spans="1:63" x14ac:dyDescent="0.25">
      <c r="A45" s="6" t="str">
        <f t="shared" si="0"/>
        <v>Q52A Production Wellhead2</v>
      </c>
      <c r="B45" s="1" t="s">
        <v>278</v>
      </c>
      <c r="C45" s="1">
        <v>2</v>
      </c>
      <c r="D45" s="1" t="s">
        <v>136</v>
      </c>
      <c r="E45" s="1" t="s">
        <v>59</v>
      </c>
      <c r="F45" s="1" t="s">
        <v>199</v>
      </c>
      <c r="G45" s="1" t="s">
        <v>64</v>
      </c>
      <c r="H45" s="2" t="s">
        <v>200</v>
      </c>
      <c r="I45" s="1">
        <v>50</v>
      </c>
      <c r="J45" s="1">
        <v>60.3</v>
      </c>
      <c r="K45" s="1">
        <v>11.07</v>
      </c>
      <c r="L45" s="2">
        <v>8.8000000000000007</v>
      </c>
      <c r="M45" s="2">
        <v>2.27</v>
      </c>
      <c r="N45" s="2"/>
      <c r="O45" s="2">
        <v>20.5</v>
      </c>
      <c r="P45" s="2" t="s">
        <v>279</v>
      </c>
      <c r="Q45" s="2">
        <v>2.14</v>
      </c>
      <c r="R45" s="2">
        <v>0.09</v>
      </c>
      <c r="S45" s="1"/>
      <c r="T45" s="2">
        <v>2</v>
      </c>
      <c r="U45" s="1">
        <v>1</v>
      </c>
      <c r="V45" s="1"/>
      <c r="W45" s="1" t="s">
        <v>110</v>
      </c>
      <c r="X45" s="1" t="s">
        <v>65</v>
      </c>
      <c r="Y45" s="1" t="s">
        <v>66</v>
      </c>
      <c r="Z45" s="2">
        <v>73.989999999999995</v>
      </c>
      <c r="AA45" s="2">
        <v>3.33</v>
      </c>
      <c r="AB45" s="2">
        <v>4.5999999999999996</v>
      </c>
      <c r="AC45" s="2"/>
      <c r="AD45" s="1">
        <v>25</v>
      </c>
      <c r="AE45" s="2">
        <v>2.96</v>
      </c>
      <c r="AF45" s="2">
        <v>0.18</v>
      </c>
      <c r="AG45" s="2">
        <v>5</v>
      </c>
      <c r="AH45" s="2">
        <v>1</v>
      </c>
      <c r="AI45" s="2" t="s">
        <v>111</v>
      </c>
      <c r="AJ45" s="2" t="s">
        <v>63</v>
      </c>
      <c r="AK45" s="1">
        <v>0</v>
      </c>
      <c r="AL45" s="1">
        <v>0</v>
      </c>
      <c r="AM45" s="1">
        <v>0</v>
      </c>
      <c r="AN45" s="2">
        <v>0</v>
      </c>
      <c r="AO45" s="2" t="s">
        <v>60</v>
      </c>
      <c r="AP45" s="2">
        <v>0.5</v>
      </c>
      <c r="AQ45" s="2">
        <v>0.2</v>
      </c>
      <c r="AR45" s="2">
        <v>36.99</v>
      </c>
      <c r="AS45" s="2">
        <v>0.92</v>
      </c>
      <c r="AT45" s="2">
        <v>0</v>
      </c>
      <c r="AU45" s="1"/>
      <c r="AV45" s="1" t="s">
        <v>59</v>
      </c>
      <c r="AW45" s="1"/>
      <c r="AX45" s="1" t="s">
        <v>61</v>
      </c>
      <c r="AY45" s="1"/>
      <c r="AZ45" s="2">
        <v>5.58</v>
      </c>
      <c r="BA45" s="2">
        <v>2.14</v>
      </c>
      <c r="BB45" s="2">
        <v>1.8</v>
      </c>
      <c r="BC45" s="2" t="s">
        <v>62</v>
      </c>
      <c r="BD45" s="2" t="s">
        <v>280</v>
      </c>
      <c r="BE45" s="1"/>
      <c r="BF45" s="2">
        <v>9.0010863661053778E-2</v>
      </c>
      <c r="BG45" s="2" t="s">
        <v>113</v>
      </c>
      <c r="BH45" s="2">
        <v>3.3299999237060547</v>
      </c>
      <c r="BI45" s="1"/>
      <c r="BJ45" s="1"/>
      <c r="BK45" s="1"/>
    </row>
    <row r="46" spans="1:63" x14ac:dyDescent="0.25">
      <c r="A46" s="6" t="str">
        <f t="shared" si="0"/>
        <v>Q78 Production Wellhead2</v>
      </c>
      <c r="B46" s="1" t="s">
        <v>281</v>
      </c>
      <c r="C46" s="1">
        <v>2</v>
      </c>
      <c r="D46" s="1" t="s">
        <v>136</v>
      </c>
      <c r="E46" s="1" t="s">
        <v>59</v>
      </c>
      <c r="F46" s="1" t="s">
        <v>199</v>
      </c>
      <c r="G46" s="1" t="s">
        <v>64</v>
      </c>
      <c r="H46" s="2" t="s">
        <v>282</v>
      </c>
      <c r="I46" s="1">
        <v>50</v>
      </c>
      <c r="J46" s="1">
        <v>60.3</v>
      </c>
      <c r="K46" s="1">
        <v>10.6</v>
      </c>
      <c r="L46" s="2">
        <v>8</v>
      </c>
      <c r="M46" s="2">
        <v>2.6</v>
      </c>
      <c r="N46" s="2"/>
      <c r="O46" s="2">
        <v>24.52</v>
      </c>
      <c r="P46" s="2" t="s">
        <v>283</v>
      </c>
      <c r="Q46" s="2">
        <v>2.14</v>
      </c>
      <c r="R46" s="2">
        <v>0.1</v>
      </c>
      <c r="S46" s="1"/>
      <c r="T46" s="2">
        <v>2</v>
      </c>
      <c r="U46" s="1">
        <v>1</v>
      </c>
      <c r="V46" s="1"/>
      <c r="W46" s="1" t="s">
        <v>110</v>
      </c>
      <c r="X46" s="1" t="s">
        <v>65</v>
      </c>
      <c r="Y46" s="1" t="s">
        <v>66</v>
      </c>
      <c r="Z46" s="2">
        <v>56.81</v>
      </c>
      <c r="AA46" s="2">
        <v>2.93</v>
      </c>
      <c r="AB46" s="2">
        <v>3.79</v>
      </c>
      <c r="AC46" s="2"/>
      <c r="AD46" s="1">
        <v>25</v>
      </c>
      <c r="AE46" s="2">
        <v>2.27</v>
      </c>
      <c r="AF46" s="2">
        <v>0.15</v>
      </c>
      <c r="AG46" s="2">
        <v>5</v>
      </c>
      <c r="AH46" s="2">
        <v>1</v>
      </c>
      <c r="AI46" s="2" t="s">
        <v>111</v>
      </c>
      <c r="AJ46" s="2" t="s">
        <v>63</v>
      </c>
      <c r="AK46" s="1">
        <v>0</v>
      </c>
      <c r="AL46" s="1">
        <v>0</v>
      </c>
      <c r="AM46" s="1">
        <v>0</v>
      </c>
      <c r="AN46" s="2">
        <v>0</v>
      </c>
      <c r="AO46" s="2" t="s">
        <v>60</v>
      </c>
      <c r="AP46" s="2">
        <v>0.5</v>
      </c>
      <c r="AQ46" s="2">
        <v>0.2</v>
      </c>
      <c r="AR46" s="2">
        <v>28.41</v>
      </c>
      <c r="AS46" s="2">
        <v>0.76</v>
      </c>
      <c r="AT46" s="2">
        <v>0</v>
      </c>
      <c r="AU46" s="1"/>
      <c r="AV46" s="1" t="s">
        <v>59</v>
      </c>
      <c r="AW46" s="1"/>
      <c r="AX46" s="1" t="s">
        <v>61</v>
      </c>
      <c r="AY46" s="1"/>
      <c r="AZ46" s="2">
        <v>5.58</v>
      </c>
      <c r="BA46" s="2">
        <v>2.14</v>
      </c>
      <c r="BB46" s="2">
        <v>1.8</v>
      </c>
      <c r="BC46" s="2" t="s">
        <v>62</v>
      </c>
      <c r="BD46" s="2" t="s">
        <v>284</v>
      </c>
      <c r="BE46" s="1"/>
      <c r="BF46" s="2">
        <v>0.10315217391304347</v>
      </c>
      <c r="BG46" s="2" t="s">
        <v>113</v>
      </c>
      <c r="BH46" s="2">
        <v>2.9300000667572021</v>
      </c>
      <c r="BI46" s="1"/>
      <c r="BJ46" s="1"/>
      <c r="BK46" s="1"/>
    </row>
    <row r="47" spans="1:63" x14ac:dyDescent="0.25">
      <c r="A47" s="6" t="str">
        <f t="shared" si="0"/>
        <v>Q83 Production Wellhead2</v>
      </c>
      <c r="B47" s="1" t="s">
        <v>285</v>
      </c>
      <c r="C47" s="1">
        <v>2</v>
      </c>
      <c r="D47" s="1" t="s">
        <v>136</v>
      </c>
      <c r="E47" s="1" t="s">
        <v>59</v>
      </c>
      <c r="F47" s="1" t="s">
        <v>199</v>
      </c>
      <c r="G47" s="1" t="s">
        <v>64</v>
      </c>
      <c r="H47" s="2" t="s">
        <v>282</v>
      </c>
      <c r="I47" s="1">
        <v>50</v>
      </c>
      <c r="J47" s="1">
        <v>60.3</v>
      </c>
      <c r="K47" s="1">
        <v>10.7</v>
      </c>
      <c r="L47" s="2">
        <v>8.4</v>
      </c>
      <c r="M47" s="2">
        <v>2.2999999999999998</v>
      </c>
      <c r="N47" s="2"/>
      <c r="O47" s="2">
        <v>21.49</v>
      </c>
      <c r="P47" s="2" t="s">
        <v>286</v>
      </c>
      <c r="Q47" s="2">
        <v>2.14</v>
      </c>
      <c r="R47" s="2">
        <v>0.09</v>
      </c>
      <c r="S47" s="1"/>
      <c r="T47" s="2">
        <v>2</v>
      </c>
      <c r="U47" s="1">
        <v>1</v>
      </c>
      <c r="V47" s="1"/>
      <c r="W47" s="1" t="s">
        <v>110</v>
      </c>
      <c r="X47" s="1" t="s">
        <v>65</v>
      </c>
      <c r="Y47" s="1" t="s">
        <v>66</v>
      </c>
      <c r="Z47" s="2">
        <v>68.599999999999994</v>
      </c>
      <c r="AA47" s="2">
        <v>3.13</v>
      </c>
      <c r="AB47" s="2">
        <v>4.1900000000000004</v>
      </c>
      <c r="AC47" s="2"/>
      <c r="AD47" s="1">
        <v>25</v>
      </c>
      <c r="AE47" s="2">
        <v>2.74</v>
      </c>
      <c r="AF47" s="2">
        <v>0.17</v>
      </c>
      <c r="AG47" s="2">
        <v>5</v>
      </c>
      <c r="AH47" s="2">
        <v>1</v>
      </c>
      <c r="AI47" s="2" t="s">
        <v>111</v>
      </c>
      <c r="AJ47" s="2" t="s">
        <v>63</v>
      </c>
      <c r="AK47" s="1">
        <v>0</v>
      </c>
      <c r="AL47" s="1">
        <v>0</v>
      </c>
      <c r="AM47" s="1">
        <v>0</v>
      </c>
      <c r="AN47" s="2">
        <v>0</v>
      </c>
      <c r="AO47" s="2" t="s">
        <v>60</v>
      </c>
      <c r="AP47" s="2">
        <v>0.5</v>
      </c>
      <c r="AQ47" s="2">
        <v>0.2</v>
      </c>
      <c r="AR47" s="2">
        <v>34.299999999999997</v>
      </c>
      <c r="AS47" s="2">
        <v>0.84</v>
      </c>
      <c r="AT47" s="2">
        <v>0</v>
      </c>
      <c r="AU47" s="1"/>
      <c r="AV47" s="1" t="s">
        <v>59</v>
      </c>
      <c r="AW47" s="1"/>
      <c r="AX47" s="1" t="s">
        <v>61</v>
      </c>
      <c r="AY47" s="1"/>
      <c r="AZ47" s="2">
        <v>5.58</v>
      </c>
      <c r="BA47" s="2">
        <v>2.14</v>
      </c>
      <c r="BB47" s="2">
        <v>1.8</v>
      </c>
      <c r="BC47" s="2" t="s">
        <v>62</v>
      </c>
      <c r="BD47" s="2" t="s">
        <v>287</v>
      </c>
      <c r="BE47" s="1"/>
      <c r="BF47" s="2">
        <v>9.1249999999999984E-2</v>
      </c>
      <c r="BG47" s="2" t="s">
        <v>113</v>
      </c>
      <c r="BH47" s="2">
        <v>3.130000114440918</v>
      </c>
      <c r="BI47" s="1"/>
      <c r="BJ47" s="1"/>
      <c r="BK47" s="1"/>
    </row>
    <row r="48" spans="1:63" x14ac:dyDescent="0.25">
      <c r="A48" s="6" t="str">
        <f t="shared" si="0"/>
        <v>Y73M Production Wellhead2</v>
      </c>
      <c r="B48" s="1" t="s">
        <v>288</v>
      </c>
      <c r="C48" s="1">
        <v>2</v>
      </c>
      <c r="D48" s="1" t="s">
        <v>125</v>
      </c>
      <c r="E48" s="1" t="s">
        <v>59</v>
      </c>
      <c r="F48" s="1" t="s">
        <v>173</v>
      </c>
      <c r="G48" s="1" t="s">
        <v>64</v>
      </c>
      <c r="H48" s="2" t="s">
        <v>289</v>
      </c>
      <c r="I48" s="1">
        <v>50</v>
      </c>
      <c r="J48" s="1">
        <v>60.3</v>
      </c>
      <c r="K48" s="1">
        <v>9.1</v>
      </c>
      <c r="L48" s="2">
        <v>7.1</v>
      </c>
      <c r="M48" s="2">
        <v>2</v>
      </c>
      <c r="N48" s="2"/>
      <c r="O48" s="2">
        <v>21.97</v>
      </c>
      <c r="P48" s="2" t="s">
        <v>290</v>
      </c>
      <c r="Q48" s="2">
        <v>2.14</v>
      </c>
      <c r="R48" s="2">
        <v>7.0000000000000007E-2</v>
      </c>
      <c r="S48" s="1"/>
      <c r="T48" s="2">
        <v>2</v>
      </c>
      <c r="U48" s="1">
        <v>1</v>
      </c>
      <c r="V48" s="1"/>
      <c r="W48" s="1" t="s">
        <v>110</v>
      </c>
      <c r="X48" s="1" t="s">
        <v>65</v>
      </c>
      <c r="Y48" s="1" t="s">
        <v>66</v>
      </c>
      <c r="Z48" s="2">
        <v>63.07</v>
      </c>
      <c r="AA48" s="2">
        <v>2.48</v>
      </c>
      <c r="AB48" s="2">
        <v>3.12</v>
      </c>
      <c r="AC48" s="2"/>
      <c r="AD48" s="1">
        <v>25</v>
      </c>
      <c r="AE48" s="2">
        <v>2.52</v>
      </c>
      <c r="AF48" s="2">
        <v>0.12</v>
      </c>
      <c r="AG48" s="2">
        <v>5</v>
      </c>
      <c r="AH48" s="2">
        <v>1</v>
      </c>
      <c r="AI48" s="2" t="s">
        <v>111</v>
      </c>
      <c r="AJ48" s="2" t="s">
        <v>63</v>
      </c>
      <c r="AK48" s="1">
        <v>0</v>
      </c>
      <c r="AL48" s="1">
        <v>0</v>
      </c>
      <c r="AM48" s="1">
        <v>0</v>
      </c>
      <c r="AN48" s="2">
        <v>0</v>
      </c>
      <c r="AO48" s="2" t="s">
        <v>60</v>
      </c>
      <c r="AP48" s="2">
        <v>0.5</v>
      </c>
      <c r="AQ48" s="2">
        <v>0.2</v>
      </c>
      <c r="AR48" s="2">
        <v>31.54</v>
      </c>
      <c r="AS48" s="2">
        <v>0.62</v>
      </c>
      <c r="AT48" s="2">
        <v>0</v>
      </c>
      <c r="AU48" s="1"/>
      <c r="AV48" s="1" t="s">
        <v>59</v>
      </c>
      <c r="AW48" s="1"/>
      <c r="AX48" s="1" t="s">
        <v>61</v>
      </c>
      <c r="AY48" s="1"/>
      <c r="AZ48" s="2">
        <v>5.58</v>
      </c>
      <c r="BA48" s="2">
        <v>2.14</v>
      </c>
      <c r="BB48" s="2">
        <v>1.8</v>
      </c>
      <c r="BC48" s="2" t="s">
        <v>62</v>
      </c>
      <c r="BD48" s="2" t="s">
        <v>291</v>
      </c>
      <c r="BE48" s="1"/>
      <c r="BF48" s="2">
        <v>7.8638371216201666E-2</v>
      </c>
      <c r="BG48" s="2" t="s">
        <v>113</v>
      </c>
      <c r="BH48" s="2">
        <v>2.4800000190734863</v>
      </c>
      <c r="BI48" s="1"/>
      <c r="BJ48" s="1"/>
      <c r="BK48" s="1"/>
    </row>
    <row r="49" spans="1:63" x14ac:dyDescent="0.25">
      <c r="A49" s="6" t="str">
        <f t="shared" si="0"/>
        <v>P46 Production Wellhead2</v>
      </c>
      <c r="B49" s="1" t="s">
        <v>256</v>
      </c>
      <c r="C49" s="1">
        <v>2</v>
      </c>
      <c r="D49" s="1" t="s">
        <v>136</v>
      </c>
      <c r="E49" s="1" t="s">
        <v>59</v>
      </c>
      <c r="F49" s="1" t="s">
        <v>199</v>
      </c>
      <c r="G49" s="1" t="s">
        <v>64</v>
      </c>
      <c r="H49" s="2" t="s">
        <v>257</v>
      </c>
      <c r="I49" s="1">
        <v>50</v>
      </c>
      <c r="J49" s="1">
        <v>60.3</v>
      </c>
      <c r="K49" s="1">
        <v>10.3</v>
      </c>
      <c r="L49" s="2">
        <v>8</v>
      </c>
      <c r="M49" s="2">
        <v>2.2999999999999998</v>
      </c>
      <c r="N49" s="2"/>
      <c r="O49" s="2">
        <v>22.33</v>
      </c>
      <c r="P49" s="2" t="s">
        <v>258</v>
      </c>
      <c r="Q49" s="2">
        <v>2.14</v>
      </c>
      <c r="R49" s="2">
        <v>0.09</v>
      </c>
      <c r="S49" s="1"/>
      <c r="T49" s="2">
        <v>2</v>
      </c>
      <c r="U49" s="1">
        <v>1</v>
      </c>
      <c r="V49" s="1"/>
      <c r="W49" s="1" t="s">
        <v>110</v>
      </c>
      <c r="X49" s="1" t="s">
        <v>65</v>
      </c>
      <c r="Y49" s="1" t="s">
        <v>66</v>
      </c>
      <c r="Z49" s="2">
        <v>64.180000000000007</v>
      </c>
      <c r="AA49" s="2">
        <v>2.93</v>
      </c>
      <c r="AB49" s="2">
        <v>3.77</v>
      </c>
      <c r="AC49" s="2"/>
      <c r="AD49" s="1">
        <v>25</v>
      </c>
      <c r="AE49" s="2">
        <v>2.57</v>
      </c>
      <c r="AF49" s="2">
        <v>0.15</v>
      </c>
      <c r="AG49" s="2">
        <v>5</v>
      </c>
      <c r="AH49" s="2">
        <v>1</v>
      </c>
      <c r="AI49" s="2" t="s">
        <v>111</v>
      </c>
      <c r="AJ49" s="2" t="s">
        <v>63</v>
      </c>
      <c r="AK49" s="1">
        <v>0</v>
      </c>
      <c r="AL49" s="1">
        <v>0</v>
      </c>
      <c r="AM49" s="1">
        <v>0</v>
      </c>
      <c r="AN49" s="2">
        <v>0</v>
      </c>
      <c r="AO49" s="2" t="s">
        <v>60</v>
      </c>
      <c r="AP49" s="2">
        <v>0.5</v>
      </c>
      <c r="AQ49" s="2">
        <v>0.2</v>
      </c>
      <c r="AR49" s="2">
        <v>32.090000000000003</v>
      </c>
      <c r="AS49" s="2">
        <v>0.75</v>
      </c>
      <c r="AT49" s="2">
        <v>0</v>
      </c>
      <c r="AU49" s="1"/>
      <c r="AV49" s="1" t="s">
        <v>59</v>
      </c>
      <c r="AW49" s="1"/>
      <c r="AX49" s="1" t="s">
        <v>61</v>
      </c>
      <c r="AY49" s="1"/>
      <c r="AZ49" s="2">
        <v>5.58</v>
      </c>
      <c r="BA49" s="2">
        <v>2.14</v>
      </c>
      <c r="BB49" s="2">
        <v>1.8</v>
      </c>
      <c r="BC49" s="2" t="s">
        <v>62</v>
      </c>
      <c r="BD49" s="2" t="s">
        <v>185</v>
      </c>
      <c r="BE49" s="1"/>
      <c r="BF49" s="2">
        <v>9.1309549706330206E-2</v>
      </c>
      <c r="BG49" s="2" t="s">
        <v>113</v>
      </c>
      <c r="BH49" s="2">
        <v>2.9300000667572021</v>
      </c>
      <c r="BI49" s="1"/>
      <c r="BJ49" s="1"/>
      <c r="BK49" s="1"/>
    </row>
    <row r="50" spans="1:63" x14ac:dyDescent="0.25">
      <c r="A50" s="6" t="str">
        <f t="shared" si="0"/>
        <v>P66 Production Wellhead2</v>
      </c>
      <c r="B50" s="1" t="s">
        <v>259</v>
      </c>
      <c r="C50" s="1">
        <v>2</v>
      </c>
      <c r="D50" s="1" t="s">
        <v>136</v>
      </c>
      <c r="E50" s="1" t="s">
        <v>59</v>
      </c>
      <c r="F50" s="1" t="s">
        <v>199</v>
      </c>
      <c r="G50" s="1" t="s">
        <v>64</v>
      </c>
      <c r="H50" s="2" t="s">
        <v>235</v>
      </c>
      <c r="I50" s="1">
        <v>50</v>
      </c>
      <c r="J50" s="1">
        <v>60.3</v>
      </c>
      <c r="K50" s="1">
        <v>10.7</v>
      </c>
      <c r="L50" s="2">
        <v>8.5</v>
      </c>
      <c r="M50" s="2">
        <v>2.2000000000000002</v>
      </c>
      <c r="N50" s="2"/>
      <c r="O50" s="2">
        <v>20.56</v>
      </c>
      <c r="P50" s="2" t="s">
        <v>260</v>
      </c>
      <c r="Q50" s="2">
        <v>2.14</v>
      </c>
      <c r="R50" s="2">
        <v>0.08</v>
      </c>
      <c r="S50" s="1"/>
      <c r="T50" s="2">
        <v>2</v>
      </c>
      <c r="U50" s="1">
        <v>1</v>
      </c>
      <c r="V50" s="1"/>
      <c r="W50" s="1" t="s">
        <v>110</v>
      </c>
      <c r="X50" s="1" t="s">
        <v>65</v>
      </c>
      <c r="Y50" s="1" t="s">
        <v>66</v>
      </c>
      <c r="Z50" s="2">
        <v>72.84</v>
      </c>
      <c r="AA50" s="2">
        <v>3.18</v>
      </c>
      <c r="AB50" s="2">
        <v>4.28</v>
      </c>
      <c r="AC50" s="2"/>
      <c r="AD50" s="1">
        <v>25</v>
      </c>
      <c r="AE50" s="2">
        <v>2.91</v>
      </c>
      <c r="AF50" s="2">
        <v>0.17</v>
      </c>
      <c r="AG50" s="2">
        <v>5</v>
      </c>
      <c r="AH50" s="2">
        <v>1</v>
      </c>
      <c r="AI50" s="2" t="s">
        <v>111</v>
      </c>
      <c r="AJ50" s="2" t="s">
        <v>63</v>
      </c>
      <c r="AK50" s="1">
        <v>0</v>
      </c>
      <c r="AL50" s="1">
        <v>0</v>
      </c>
      <c r="AM50" s="1">
        <v>0</v>
      </c>
      <c r="AN50" s="2">
        <v>0</v>
      </c>
      <c r="AO50" s="2" t="s">
        <v>60</v>
      </c>
      <c r="AP50" s="2">
        <v>0.5</v>
      </c>
      <c r="AQ50" s="2">
        <v>0.2</v>
      </c>
      <c r="AR50" s="2">
        <v>36.42</v>
      </c>
      <c r="AS50" s="2">
        <v>0.86</v>
      </c>
      <c r="AT50" s="2">
        <v>0</v>
      </c>
      <c r="AU50" s="1"/>
      <c r="AV50" s="1" t="s">
        <v>59</v>
      </c>
      <c r="AW50" s="1"/>
      <c r="AX50" s="1" t="s">
        <v>61</v>
      </c>
      <c r="AY50" s="1"/>
      <c r="AZ50" s="2">
        <v>5.58</v>
      </c>
      <c r="BA50" s="2">
        <v>2.14</v>
      </c>
      <c r="BB50" s="2">
        <v>1.8</v>
      </c>
      <c r="BC50" s="2" t="s">
        <v>62</v>
      </c>
      <c r="BD50" s="2" t="s">
        <v>233</v>
      </c>
      <c r="BE50" s="1"/>
      <c r="BF50" s="2">
        <v>8.731107969990215E-2</v>
      </c>
      <c r="BG50" s="2" t="s">
        <v>113</v>
      </c>
      <c r="BH50" s="2">
        <v>3.1800000667572021</v>
      </c>
      <c r="BI50" s="1"/>
      <c r="BJ50" s="1"/>
      <c r="BK50" s="1"/>
    </row>
    <row r="51" spans="1:63" x14ac:dyDescent="0.25">
      <c r="A51" s="6" t="str">
        <f t="shared" si="0"/>
        <v>P71A Production Wellhead1</v>
      </c>
      <c r="B51" s="1" t="s">
        <v>261</v>
      </c>
      <c r="C51" s="1">
        <v>1</v>
      </c>
      <c r="D51" s="1" t="s">
        <v>106</v>
      </c>
      <c r="E51" s="1" t="s">
        <v>59</v>
      </c>
      <c r="F51" s="1" t="s">
        <v>173</v>
      </c>
      <c r="G51" s="1" t="s">
        <v>64</v>
      </c>
      <c r="H51" s="2" t="s">
        <v>262</v>
      </c>
      <c r="I51" s="1">
        <v>50</v>
      </c>
      <c r="J51" s="1">
        <v>60.3</v>
      </c>
      <c r="K51" s="1">
        <v>10.4</v>
      </c>
      <c r="L51" s="2">
        <v>8</v>
      </c>
      <c r="M51" s="2">
        <v>2.4</v>
      </c>
      <c r="N51" s="2"/>
      <c r="O51" s="2">
        <v>23.07</v>
      </c>
      <c r="P51" s="2" t="s">
        <v>263</v>
      </c>
      <c r="Q51" s="2">
        <v>2.14</v>
      </c>
      <c r="R51" s="2">
        <v>0.09</v>
      </c>
      <c r="S51" s="1"/>
      <c r="T51" s="2">
        <v>2</v>
      </c>
      <c r="U51" s="1">
        <v>1</v>
      </c>
      <c r="V51" s="1"/>
      <c r="W51" s="1" t="s">
        <v>110</v>
      </c>
      <c r="X51" s="1" t="s">
        <v>65</v>
      </c>
      <c r="Y51" s="1" t="s">
        <v>66</v>
      </c>
      <c r="Z51" s="2">
        <v>62.13</v>
      </c>
      <c r="AA51" s="2">
        <v>2.93</v>
      </c>
      <c r="AB51" s="2">
        <v>4.03</v>
      </c>
      <c r="AC51" s="2"/>
      <c r="AD51" s="1">
        <v>25</v>
      </c>
      <c r="AE51" s="2">
        <v>2.4900000000000002</v>
      </c>
      <c r="AF51" s="2">
        <v>0.16</v>
      </c>
      <c r="AG51" s="2">
        <v>5</v>
      </c>
      <c r="AH51" s="2">
        <v>1</v>
      </c>
      <c r="AI51" s="2" t="s">
        <v>111</v>
      </c>
      <c r="AJ51" s="2" t="s">
        <v>63</v>
      </c>
      <c r="AK51" s="1">
        <v>0</v>
      </c>
      <c r="AL51" s="1">
        <v>0</v>
      </c>
      <c r="AM51" s="1">
        <v>0</v>
      </c>
      <c r="AN51" s="2">
        <v>0</v>
      </c>
      <c r="AO51" s="2" t="s">
        <v>60</v>
      </c>
      <c r="AP51" s="2">
        <v>0.5</v>
      </c>
      <c r="AQ51" s="2">
        <v>0.2</v>
      </c>
      <c r="AR51" s="2">
        <v>31.07</v>
      </c>
      <c r="AS51" s="2">
        <v>0.81</v>
      </c>
      <c r="AT51" s="2">
        <v>0</v>
      </c>
      <c r="AU51" s="1"/>
      <c r="AV51" s="1" t="s">
        <v>59</v>
      </c>
      <c r="AW51" s="1"/>
      <c r="AX51" s="1" t="s">
        <v>61</v>
      </c>
      <c r="AY51" s="1"/>
      <c r="AZ51" s="2">
        <v>5.58</v>
      </c>
      <c r="BA51" s="2">
        <v>2.14</v>
      </c>
      <c r="BB51" s="2">
        <v>1.8</v>
      </c>
      <c r="BC51" s="2" t="s">
        <v>62</v>
      </c>
      <c r="BD51" s="2" t="s">
        <v>264</v>
      </c>
      <c r="BE51" s="1"/>
      <c r="BF51" s="2">
        <v>9.4325401098309461E-2</v>
      </c>
      <c r="BG51" s="2" t="s">
        <v>113</v>
      </c>
      <c r="BH51" s="2">
        <v>2.9300000667572021</v>
      </c>
      <c r="BI51" s="1"/>
      <c r="BJ51" s="1"/>
      <c r="BK51" s="1"/>
    </row>
    <row r="52" spans="1:63" x14ac:dyDescent="0.25">
      <c r="A52" s="6" t="str">
        <f t="shared" si="0"/>
        <v>P71A Production Wellhead2</v>
      </c>
      <c r="B52" s="1" t="s">
        <v>261</v>
      </c>
      <c r="C52" s="1">
        <v>2</v>
      </c>
      <c r="D52" s="1" t="s">
        <v>125</v>
      </c>
      <c r="E52" s="1" t="s">
        <v>59</v>
      </c>
      <c r="F52" s="1" t="s">
        <v>173</v>
      </c>
      <c r="G52" s="1" t="s">
        <v>64</v>
      </c>
      <c r="H52" s="2" t="s">
        <v>262</v>
      </c>
      <c r="I52" s="1">
        <v>50</v>
      </c>
      <c r="J52" s="1">
        <v>60.3</v>
      </c>
      <c r="K52" s="1">
        <v>10.8</v>
      </c>
      <c r="L52" s="2">
        <v>8.4</v>
      </c>
      <c r="M52" s="2">
        <v>2.4</v>
      </c>
      <c r="N52" s="2"/>
      <c r="O52" s="2">
        <v>22.22</v>
      </c>
      <c r="P52" s="2" t="s">
        <v>265</v>
      </c>
      <c r="Q52" s="2">
        <v>2.14</v>
      </c>
      <c r="R52" s="2">
        <v>0.09</v>
      </c>
      <c r="S52" s="1"/>
      <c r="T52" s="2">
        <v>2</v>
      </c>
      <c r="U52" s="1">
        <v>1</v>
      </c>
      <c r="V52" s="1"/>
      <c r="W52" s="1" t="s">
        <v>110</v>
      </c>
      <c r="X52" s="1" t="s">
        <v>65</v>
      </c>
      <c r="Y52" s="1" t="s">
        <v>66</v>
      </c>
      <c r="Z52" s="2">
        <v>66.37</v>
      </c>
      <c r="AA52" s="2">
        <v>3.13</v>
      </c>
      <c r="AB52" s="2">
        <v>4.43</v>
      </c>
      <c r="AC52" s="2"/>
      <c r="AD52" s="1">
        <v>25</v>
      </c>
      <c r="AE52" s="2">
        <v>2.65</v>
      </c>
      <c r="AF52" s="2">
        <v>0.18</v>
      </c>
      <c r="AG52" s="2">
        <v>5</v>
      </c>
      <c r="AH52" s="2">
        <v>1</v>
      </c>
      <c r="AI52" s="2" t="s">
        <v>111</v>
      </c>
      <c r="AJ52" s="2" t="s">
        <v>63</v>
      </c>
      <c r="AK52" s="1">
        <v>0</v>
      </c>
      <c r="AL52" s="1">
        <v>0</v>
      </c>
      <c r="AM52" s="1">
        <v>0</v>
      </c>
      <c r="AN52" s="2">
        <v>0</v>
      </c>
      <c r="AO52" s="2" t="s">
        <v>60</v>
      </c>
      <c r="AP52" s="2">
        <v>0.5</v>
      </c>
      <c r="AQ52" s="2">
        <v>0.2</v>
      </c>
      <c r="AR52" s="2">
        <v>33.19</v>
      </c>
      <c r="AS52" s="2">
        <v>0.89</v>
      </c>
      <c r="AT52" s="2">
        <v>0</v>
      </c>
      <c r="AU52" s="1"/>
      <c r="AV52" s="1" t="s">
        <v>59</v>
      </c>
      <c r="AW52" s="1"/>
      <c r="AX52" s="1" t="s">
        <v>61</v>
      </c>
      <c r="AY52" s="1"/>
      <c r="AZ52" s="2">
        <v>5.58</v>
      </c>
      <c r="BA52" s="2">
        <v>2.14</v>
      </c>
      <c r="BB52" s="2">
        <v>1.8</v>
      </c>
      <c r="BC52" s="2" t="s">
        <v>62</v>
      </c>
      <c r="BD52" s="2" t="s">
        <v>266</v>
      </c>
      <c r="BE52" s="1"/>
      <c r="BF52" s="2">
        <v>9.4325401098309461E-2</v>
      </c>
      <c r="BG52" s="2" t="s">
        <v>113</v>
      </c>
      <c r="BH52" s="2">
        <v>3.130000114440918</v>
      </c>
      <c r="BI52" s="1"/>
      <c r="BJ52" s="1"/>
      <c r="BK52" s="1"/>
    </row>
    <row r="53" spans="1:63" x14ac:dyDescent="0.25">
      <c r="A53" s="6" t="str">
        <f t="shared" si="0"/>
        <v>P81 Production Wellhead2</v>
      </c>
      <c r="B53" s="1" t="s">
        <v>267</v>
      </c>
      <c r="C53" s="1">
        <v>2</v>
      </c>
      <c r="D53" s="1" t="s">
        <v>136</v>
      </c>
      <c r="E53" s="1" t="s">
        <v>59</v>
      </c>
      <c r="F53" s="1" t="s">
        <v>199</v>
      </c>
      <c r="G53" s="1" t="s">
        <v>64</v>
      </c>
      <c r="H53" s="2" t="s">
        <v>268</v>
      </c>
      <c r="I53" s="1">
        <v>50</v>
      </c>
      <c r="J53" s="1">
        <v>60.3</v>
      </c>
      <c r="K53" s="1">
        <v>10.5</v>
      </c>
      <c r="L53" s="2">
        <v>8.5</v>
      </c>
      <c r="M53" s="2">
        <v>2</v>
      </c>
      <c r="N53" s="2"/>
      <c r="O53" s="2">
        <v>19.04</v>
      </c>
      <c r="P53" s="2" t="s">
        <v>269</v>
      </c>
      <c r="Q53" s="2">
        <v>2.14</v>
      </c>
      <c r="R53" s="2">
        <v>7.0000000000000007E-2</v>
      </c>
      <c r="S53" s="1"/>
      <c r="T53" s="2">
        <v>2</v>
      </c>
      <c r="U53" s="1">
        <v>1</v>
      </c>
      <c r="V53" s="1"/>
      <c r="W53" s="1" t="s">
        <v>110</v>
      </c>
      <c r="X53" s="1" t="s">
        <v>65</v>
      </c>
      <c r="Y53" s="1" t="s">
        <v>66</v>
      </c>
      <c r="Z53" s="2">
        <v>80.11</v>
      </c>
      <c r="AA53" s="2">
        <v>3.18</v>
      </c>
      <c r="AB53" s="2">
        <v>4.28</v>
      </c>
      <c r="AC53" s="2"/>
      <c r="AD53" s="1">
        <v>25</v>
      </c>
      <c r="AE53" s="2">
        <v>3.2</v>
      </c>
      <c r="AF53" s="2">
        <v>0.17</v>
      </c>
      <c r="AG53" s="2">
        <v>5</v>
      </c>
      <c r="AH53" s="2">
        <v>1</v>
      </c>
      <c r="AI53" s="2" t="s">
        <v>111</v>
      </c>
      <c r="AJ53" s="2" t="s">
        <v>63</v>
      </c>
      <c r="AK53" s="1">
        <v>0</v>
      </c>
      <c r="AL53" s="1">
        <v>0</v>
      </c>
      <c r="AM53" s="1">
        <v>0</v>
      </c>
      <c r="AN53" s="2">
        <v>0</v>
      </c>
      <c r="AO53" s="2" t="s">
        <v>60</v>
      </c>
      <c r="AP53" s="2">
        <v>0.5</v>
      </c>
      <c r="AQ53" s="2">
        <v>0.2</v>
      </c>
      <c r="AR53" s="2">
        <v>40.049999999999997</v>
      </c>
      <c r="AS53" s="2">
        <v>0.86</v>
      </c>
      <c r="AT53" s="2">
        <v>0</v>
      </c>
      <c r="AU53" s="1"/>
      <c r="AV53" s="1" t="s">
        <v>59</v>
      </c>
      <c r="AW53" s="1"/>
      <c r="AX53" s="1" t="s">
        <v>61</v>
      </c>
      <c r="AY53" s="1"/>
      <c r="AZ53" s="2">
        <v>5.58</v>
      </c>
      <c r="BA53" s="2">
        <v>2.14</v>
      </c>
      <c r="BB53" s="2">
        <v>1.8</v>
      </c>
      <c r="BC53" s="2" t="s">
        <v>62</v>
      </c>
      <c r="BD53" s="2" t="s">
        <v>233</v>
      </c>
      <c r="BE53" s="1"/>
      <c r="BF53" s="2">
        <v>7.9390973355084285E-2</v>
      </c>
      <c r="BG53" s="2" t="s">
        <v>113</v>
      </c>
      <c r="BH53" s="2">
        <v>3.1800000667572021</v>
      </c>
      <c r="BI53" s="1"/>
      <c r="BJ53" s="1"/>
      <c r="BK53" s="1"/>
    </row>
    <row r="54" spans="1:63" x14ac:dyDescent="0.25">
      <c r="A54" s="6" t="str">
        <f t="shared" si="0"/>
        <v>P86 Production Wellhead2</v>
      </c>
      <c r="B54" s="1" t="s">
        <v>270</v>
      </c>
      <c r="C54" s="1">
        <v>2</v>
      </c>
      <c r="D54" s="1" t="s">
        <v>141</v>
      </c>
      <c r="E54" s="1" t="s">
        <v>59</v>
      </c>
      <c r="F54" s="1" t="s">
        <v>220</v>
      </c>
      <c r="G54" s="1" t="s">
        <v>64</v>
      </c>
      <c r="H54" s="2" t="s">
        <v>268</v>
      </c>
      <c r="I54" s="1">
        <v>50</v>
      </c>
      <c r="J54" s="1">
        <v>60.3</v>
      </c>
      <c r="K54" s="1">
        <v>10.3</v>
      </c>
      <c r="L54" s="2">
        <v>8.1</v>
      </c>
      <c r="M54" s="2">
        <v>2.2000000000000002</v>
      </c>
      <c r="N54" s="2"/>
      <c r="O54" s="2">
        <v>21.35</v>
      </c>
      <c r="P54" s="2" t="s">
        <v>271</v>
      </c>
      <c r="Q54" s="2">
        <v>2.14</v>
      </c>
      <c r="R54" s="2">
        <v>0.08</v>
      </c>
      <c r="S54" s="1"/>
      <c r="T54" s="2">
        <v>2</v>
      </c>
      <c r="U54" s="1">
        <v>1</v>
      </c>
      <c r="V54" s="1"/>
      <c r="W54" s="1" t="s">
        <v>110</v>
      </c>
      <c r="X54" s="1" t="s">
        <v>65</v>
      </c>
      <c r="Y54" s="1" t="s">
        <v>66</v>
      </c>
      <c r="Z54" s="2">
        <v>68.25</v>
      </c>
      <c r="AA54" s="2">
        <v>2.98</v>
      </c>
      <c r="AB54" s="2">
        <v>3.88</v>
      </c>
      <c r="AC54" s="2"/>
      <c r="AD54" s="1">
        <v>25</v>
      </c>
      <c r="AE54" s="2">
        <v>2.73</v>
      </c>
      <c r="AF54" s="2">
        <v>0.16</v>
      </c>
      <c r="AG54" s="2">
        <v>5</v>
      </c>
      <c r="AH54" s="2">
        <v>1</v>
      </c>
      <c r="AI54" s="2" t="s">
        <v>111</v>
      </c>
      <c r="AJ54" s="2" t="s">
        <v>63</v>
      </c>
      <c r="AK54" s="1">
        <v>0</v>
      </c>
      <c r="AL54" s="1">
        <v>0</v>
      </c>
      <c r="AM54" s="1">
        <v>0</v>
      </c>
      <c r="AN54" s="2">
        <v>0</v>
      </c>
      <c r="AO54" s="2" t="s">
        <v>60</v>
      </c>
      <c r="AP54" s="2">
        <v>0.5</v>
      </c>
      <c r="AQ54" s="2">
        <v>0.2</v>
      </c>
      <c r="AR54" s="2">
        <v>34.119999999999997</v>
      </c>
      <c r="AS54" s="2">
        <v>0.78</v>
      </c>
      <c r="AT54" s="2">
        <v>0</v>
      </c>
      <c r="AU54" s="1"/>
      <c r="AV54" s="1" t="s">
        <v>59</v>
      </c>
      <c r="AW54" s="1"/>
      <c r="AX54" s="1" t="s">
        <v>61</v>
      </c>
      <c r="AY54" s="1"/>
      <c r="AZ54" s="2">
        <v>5.58</v>
      </c>
      <c r="BA54" s="2">
        <v>2.14</v>
      </c>
      <c r="BB54" s="2">
        <v>1.8</v>
      </c>
      <c r="BC54" s="2" t="s">
        <v>62</v>
      </c>
      <c r="BD54" s="2" t="s">
        <v>272</v>
      </c>
      <c r="BE54" s="1"/>
      <c r="BF54" s="2">
        <v>8.7330070690592718E-2</v>
      </c>
      <c r="BG54" s="2" t="s">
        <v>113</v>
      </c>
      <c r="BH54" s="2">
        <v>2.9800000190734863</v>
      </c>
      <c r="BI54" s="1"/>
      <c r="BJ54" s="1"/>
      <c r="BK54" s="1"/>
    </row>
    <row r="55" spans="1:63" x14ac:dyDescent="0.25">
      <c r="A55" s="6" t="str">
        <f t="shared" si="0"/>
        <v>Q45 Production Wellhead1</v>
      </c>
      <c r="B55" s="1" t="s">
        <v>273</v>
      </c>
      <c r="C55" s="1">
        <v>1</v>
      </c>
      <c r="D55" s="1" t="s">
        <v>106</v>
      </c>
      <c r="E55" s="1" t="s">
        <v>59</v>
      </c>
      <c r="F55" s="1" t="s">
        <v>274</v>
      </c>
      <c r="G55" s="1" t="s">
        <v>64</v>
      </c>
      <c r="H55" s="2" t="s">
        <v>275</v>
      </c>
      <c r="I55" s="1">
        <v>50</v>
      </c>
      <c r="J55" s="1">
        <v>60.3</v>
      </c>
      <c r="K55" s="1">
        <v>11.6</v>
      </c>
      <c r="L55" s="2">
        <v>9.3000000000000007</v>
      </c>
      <c r="M55" s="2">
        <v>2.2999999999999998</v>
      </c>
      <c r="N55" s="2"/>
      <c r="O55" s="2">
        <v>19.82</v>
      </c>
      <c r="P55" s="2" t="s">
        <v>276</v>
      </c>
      <c r="Q55" s="2">
        <v>2.14</v>
      </c>
      <c r="R55" s="2">
        <v>0.09</v>
      </c>
      <c r="S55" s="1"/>
      <c r="T55" s="2">
        <v>2</v>
      </c>
      <c r="U55" s="1">
        <v>1</v>
      </c>
      <c r="V55" s="1"/>
      <c r="W55" s="1" t="s">
        <v>110</v>
      </c>
      <c r="X55" s="1" t="s">
        <v>65</v>
      </c>
      <c r="Y55" s="1" t="s">
        <v>66</v>
      </c>
      <c r="Z55" s="2">
        <v>78.349999999999994</v>
      </c>
      <c r="AA55" s="2">
        <v>3.58</v>
      </c>
      <c r="AB55" s="2">
        <v>5.05</v>
      </c>
      <c r="AC55" s="2"/>
      <c r="AD55" s="1">
        <v>25</v>
      </c>
      <c r="AE55" s="2">
        <v>3.13</v>
      </c>
      <c r="AF55" s="2">
        <v>0.2</v>
      </c>
      <c r="AG55" s="2">
        <v>5</v>
      </c>
      <c r="AH55" s="2">
        <v>1</v>
      </c>
      <c r="AI55" s="2" t="s">
        <v>111</v>
      </c>
      <c r="AJ55" s="2" t="s">
        <v>63</v>
      </c>
      <c r="AK55" s="1">
        <v>0</v>
      </c>
      <c r="AL55" s="1">
        <v>0</v>
      </c>
      <c r="AM55" s="1">
        <v>0</v>
      </c>
      <c r="AN55" s="2">
        <v>0</v>
      </c>
      <c r="AO55" s="2" t="s">
        <v>60</v>
      </c>
      <c r="AP55" s="2">
        <v>0.5</v>
      </c>
      <c r="AQ55" s="2">
        <v>0.2</v>
      </c>
      <c r="AR55" s="2">
        <v>39.17</v>
      </c>
      <c r="AS55" s="2">
        <v>1.01</v>
      </c>
      <c r="AT55" s="2">
        <v>0</v>
      </c>
      <c r="AU55" s="1"/>
      <c r="AV55" s="1" t="s">
        <v>59</v>
      </c>
      <c r="AW55" s="1"/>
      <c r="AX55" s="1" t="s">
        <v>61</v>
      </c>
      <c r="AY55" s="1"/>
      <c r="AZ55" s="2">
        <v>5.58</v>
      </c>
      <c r="BA55" s="2">
        <v>2.14</v>
      </c>
      <c r="BB55" s="2">
        <v>1.8</v>
      </c>
      <c r="BC55" s="2" t="s">
        <v>62</v>
      </c>
      <c r="BD55" s="2" t="s">
        <v>277</v>
      </c>
      <c r="BE55" s="1"/>
      <c r="BF55" s="2">
        <v>9.1379122673342764E-2</v>
      </c>
      <c r="BG55" s="2" t="s">
        <v>113</v>
      </c>
      <c r="BH55" s="2">
        <v>3.5799999237060547</v>
      </c>
      <c r="BI55" s="1"/>
      <c r="BJ55" s="1"/>
      <c r="BK55" s="1"/>
    </row>
    <row r="56" spans="1:63" x14ac:dyDescent="0.25">
      <c r="A56" s="6" t="str">
        <f t="shared" si="0"/>
        <v>Q52A Production Wellhead2</v>
      </c>
      <c r="B56" s="1" t="s">
        <v>278</v>
      </c>
      <c r="C56" s="1">
        <v>2</v>
      </c>
      <c r="D56" s="1" t="s">
        <v>136</v>
      </c>
      <c r="E56" s="1" t="s">
        <v>59</v>
      </c>
      <c r="F56" s="1" t="s">
        <v>199</v>
      </c>
      <c r="G56" s="1" t="s">
        <v>64</v>
      </c>
      <c r="H56" s="2" t="s">
        <v>200</v>
      </c>
      <c r="I56" s="1">
        <v>50</v>
      </c>
      <c r="J56" s="1">
        <v>60.3</v>
      </c>
      <c r="K56" s="1">
        <v>11.07</v>
      </c>
      <c r="L56" s="2">
        <v>8.8000000000000007</v>
      </c>
      <c r="M56" s="2">
        <v>2.27</v>
      </c>
      <c r="N56" s="2"/>
      <c r="O56" s="2">
        <v>20.5</v>
      </c>
      <c r="P56" s="2" t="s">
        <v>279</v>
      </c>
      <c r="Q56" s="2">
        <v>2.14</v>
      </c>
      <c r="R56" s="2">
        <v>0.09</v>
      </c>
      <c r="S56" s="1"/>
      <c r="T56" s="2">
        <v>2</v>
      </c>
      <c r="U56" s="1">
        <v>1</v>
      </c>
      <c r="V56" s="1"/>
      <c r="W56" s="1" t="s">
        <v>110</v>
      </c>
      <c r="X56" s="1" t="s">
        <v>65</v>
      </c>
      <c r="Y56" s="1" t="s">
        <v>66</v>
      </c>
      <c r="Z56" s="2">
        <v>73.989999999999995</v>
      </c>
      <c r="AA56" s="2">
        <v>3.33</v>
      </c>
      <c r="AB56" s="2">
        <v>4.5999999999999996</v>
      </c>
      <c r="AC56" s="2"/>
      <c r="AD56" s="1">
        <v>25</v>
      </c>
      <c r="AE56" s="2">
        <v>2.96</v>
      </c>
      <c r="AF56" s="2">
        <v>0.18</v>
      </c>
      <c r="AG56" s="2">
        <v>5</v>
      </c>
      <c r="AH56" s="2">
        <v>1</v>
      </c>
      <c r="AI56" s="2" t="s">
        <v>111</v>
      </c>
      <c r="AJ56" s="2" t="s">
        <v>63</v>
      </c>
      <c r="AK56" s="1">
        <v>0</v>
      </c>
      <c r="AL56" s="1">
        <v>0</v>
      </c>
      <c r="AM56" s="1">
        <v>0</v>
      </c>
      <c r="AN56" s="2">
        <v>0</v>
      </c>
      <c r="AO56" s="2" t="s">
        <v>60</v>
      </c>
      <c r="AP56" s="2">
        <v>0.5</v>
      </c>
      <c r="AQ56" s="2">
        <v>0.2</v>
      </c>
      <c r="AR56" s="2">
        <v>36.99</v>
      </c>
      <c r="AS56" s="2">
        <v>0.92</v>
      </c>
      <c r="AT56" s="2">
        <v>0</v>
      </c>
      <c r="AU56" s="1"/>
      <c r="AV56" s="1" t="s">
        <v>59</v>
      </c>
      <c r="AW56" s="1"/>
      <c r="AX56" s="1" t="s">
        <v>61</v>
      </c>
      <c r="AY56" s="1"/>
      <c r="AZ56" s="2">
        <v>5.58</v>
      </c>
      <c r="BA56" s="2">
        <v>2.14</v>
      </c>
      <c r="BB56" s="2">
        <v>1.8</v>
      </c>
      <c r="BC56" s="2" t="s">
        <v>62</v>
      </c>
      <c r="BD56" s="2" t="s">
        <v>280</v>
      </c>
      <c r="BE56" s="1"/>
      <c r="BF56" s="2">
        <v>9.0010863661053778E-2</v>
      </c>
      <c r="BG56" s="2" t="s">
        <v>113</v>
      </c>
      <c r="BH56" s="2">
        <v>3.3299999237060547</v>
      </c>
      <c r="BI56" s="1"/>
      <c r="BJ56" s="1"/>
      <c r="BK56" s="1"/>
    </row>
    <row r="57" spans="1:63" x14ac:dyDescent="0.25">
      <c r="A57" s="6" t="str">
        <f t="shared" si="0"/>
        <v>Q78 Production Wellhead2</v>
      </c>
      <c r="B57" s="1" t="s">
        <v>281</v>
      </c>
      <c r="C57" s="1">
        <v>2</v>
      </c>
      <c r="D57" s="1" t="s">
        <v>136</v>
      </c>
      <c r="E57" s="1" t="s">
        <v>59</v>
      </c>
      <c r="F57" s="1" t="s">
        <v>199</v>
      </c>
      <c r="G57" s="1" t="s">
        <v>64</v>
      </c>
      <c r="H57" s="2" t="s">
        <v>282</v>
      </c>
      <c r="I57" s="1">
        <v>50</v>
      </c>
      <c r="J57" s="1">
        <v>60.3</v>
      </c>
      <c r="K57" s="1">
        <v>10.6</v>
      </c>
      <c r="L57" s="2">
        <v>8</v>
      </c>
      <c r="M57" s="2">
        <v>2.6</v>
      </c>
      <c r="N57" s="2"/>
      <c r="O57" s="2">
        <v>24.52</v>
      </c>
      <c r="P57" s="2" t="s">
        <v>283</v>
      </c>
      <c r="Q57" s="2">
        <v>2.14</v>
      </c>
      <c r="R57" s="2">
        <v>0.1</v>
      </c>
      <c r="S57" s="1"/>
      <c r="T57" s="2">
        <v>2</v>
      </c>
      <c r="U57" s="1">
        <v>1</v>
      </c>
      <c r="V57" s="1"/>
      <c r="W57" s="1" t="s">
        <v>110</v>
      </c>
      <c r="X57" s="1" t="s">
        <v>65</v>
      </c>
      <c r="Y57" s="1" t="s">
        <v>66</v>
      </c>
      <c r="Z57" s="2">
        <v>56.81</v>
      </c>
      <c r="AA57" s="2">
        <v>2.93</v>
      </c>
      <c r="AB57" s="2">
        <v>3.79</v>
      </c>
      <c r="AC57" s="2"/>
      <c r="AD57" s="1">
        <v>25</v>
      </c>
      <c r="AE57" s="2">
        <v>2.27</v>
      </c>
      <c r="AF57" s="2">
        <v>0.15</v>
      </c>
      <c r="AG57" s="2">
        <v>5</v>
      </c>
      <c r="AH57" s="2">
        <v>1</v>
      </c>
      <c r="AI57" s="2" t="s">
        <v>111</v>
      </c>
      <c r="AJ57" s="2" t="s">
        <v>63</v>
      </c>
      <c r="AK57" s="1">
        <v>0</v>
      </c>
      <c r="AL57" s="1">
        <v>0</v>
      </c>
      <c r="AM57" s="1">
        <v>0</v>
      </c>
      <c r="AN57" s="2">
        <v>0</v>
      </c>
      <c r="AO57" s="2" t="s">
        <v>60</v>
      </c>
      <c r="AP57" s="2">
        <v>0.5</v>
      </c>
      <c r="AQ57" s="2">
        <v>0.2</v>
      </c>
      <c r="AR57" s="2">
        <v>28.41</v>
      </c>
      <c r="AS57" s="2">
        <v>0.76</v>
      </c>
      <c r="AT57" s="2">
        <v>0</v>
      </c>
      <c r="AU57" s="1"/>
      <c r="AV57" s="1" t="s">
        <v>59</v>
      </c>
      <c r="AW57" s="1"/>
      <c r="AX57" s="1" t="s">
        <v>61</v>
      </c>
      <c r="AY57" s="1"/>
      <c r="AZ57" s="2">
        <v>5.58</v>
      </c>
      <c r="BA57" s="2">
        <v>2.14</v>
      </c>
      <c r="BB57" s="2">
        <v>1.8</v>
      </c>
      <c r="BC57" s="2" t="s">
        <v>62</v>
      </c>
      <c r="BD57" s="2" t="s">
        <v>284</v>
      </c>
      <c r="BE57" s="1"/>
      <c r="BF57" s="2">
        <v>0.10315217391304347</v>
      </c>
      <c r="BG57" s="2" t="s">
        <v>113</v>
      </c>
      <c r="BH57" s="2">
        <v>2.9300000667572021</v>
      </c>
      <c r="BI57" s="1"/>
      <c r="BJ57" s="1"/>
      <c r="BK57" s="1"/>
    </row>
    <row r="58" spans="1:63" x14ac:dyDescent="0.25">
      <c r="A58" s="6" t="str">
        <f t="shared" si="0"/>
        <v>Q83 Production Wellhead2</v>
      </c>
      <c r="B58" s="1" t="s">
        <v>285</v>
      </c>
      <c r="C58" s="1">
        <v>2</v>
      </c>
      <c r="D58" s="1" t="s">
        <v>136</v>
      </c>
      <c r="E58" s="1" t="s">
        <v>59</v>
      </c>
      <c r="F58" s="1" t="s">
        <v>199</v>
      </c>
      <c r="G58" s="1" t="s">
        <v>64</v>
      </c>
      <c r="H58" s="2" t="s">
        <v>282</v>
      </c>
      <c r="I58" s="1">
        <v>50</v>
      </c>
      <c r="J58" s="1">
        <v>60.3</v>
      </c>
      <c r="K58" s="1">
        <v>10.7</v>
      </c>
      <c r="L58" s="2">
        <v>8.4</v>
      </c>
      <c r="M58" s="2">
        <v>2.2999999999999998</v>
      </c>
      <c r="N58" s="2"/>
      <c r="O58" s="2">
        <v>21.49</v>
      </c>
      <c r="P58" s="2" t="s">
        <v>286</v>
      </c>
      <c r="Q58" s="2">
        <v>2.14</v>
      </c>
      <c r="R58" s="2">
        <v>0.09</v>
      </c>
      <c r="S58" s="1"/>
      <c r="T58" s="2">
        <v>2</v>
      </c>
      <c r="U58" s="1">
        <v>1</v>
      </c>
      <c r="V58" s="1"/>
      <c r="W58" s="1" t="s">
        <v>110</v>
      </c>
      <c r="X58" s="1" t="s">
        <v>65</v>
      </c>
      <c r="Y58" s="1" t="s">
        <v>66</v>
      </c>
      <c r="Z58" s="2">
        <v>68.599999999999994</v>
      </c>
      <c r="AA58" s="2">
        <v>3.13</v>
      </c>
      <c r="AB58" s="2">
        <v>4.1900000000000004</v>
      </c>
      <c r="AC58" s="2"/>
      <c r="AD58" s="1">
        <v>25</v>
      </c>
      <c r="AE58" s="2">
        <v>2.74</v>
      </c>
      <c r="AF58" s="2">
        <v>0.17</v>
      </c>
      <c r="AG58" s="2">
        <v>5</v>
      </c>
      <c r="AH58" s="2">
        <v>1</v>
      </c>
      <c r="AI58" s="2" t="s">
        <v>111</v>
      </c>
      <c r="AJ58" s="2" t="s">
        <v>63</v>
      </c>
      <c r="AK58" s="1">
        <v>0</v>
      </c>
      <c r="AL58" s="1">
        <v>0</v>
      </c>
      <c r="AM58" s="1">
        <v>0</v>
      </c>
      <c r="AN58" s="2">
        <v>0</v>
      </c>
      <c r="AO58" s="2" t="s">
        <v>60</v>
      </c>
      <c r="AP58" s="2">
        <v>0.5</v>
      </c>
      <c r="AQ58" s="2">
        <v>0.2</v>
      </c>
      <c r="AR58" s="2">
        <v>34.299999999999997</v>
      </c>
      <c r="AS58" s="2">
        <v>0.84</v>
      </c>
      <c r="AT58" s="2">
        <v>0</v>
      </c>
      <c r="AU58" s="1"/>
      <c r="AV58" s="1" t="s">
        <v>59</v>
      </c>
      <c r="AW58" s="1"/>
      <c r="AX58" s="1" t="s">
        <v>61</v>
      </c>
      <c r="AY58" s="1"/>
      <c r="AZ58" s="2">
        <v>5.58</v>
      </c>
      <c r="BA58" s="2">
        <v>2.14</v>
      </c>
      <c r="BB58" s="2">
        <v>1.8</v>
      </c>
      <c r="BC58" s="2" t="s">
        <v>62</v>
      </c>
      <c r="BD58" s="2" t="s">
        <v>287</v>
      </c>
      <c r="BE58" s="1"/>
      <c r="BF58" s="2">
        <v>9.1249999999999984E-2</v>
      </c>
      <c r="BG58" s="2" t="s">
        <v>113</v>
      </c>
      <c r="BH58" s="2">
        <v>3.130000114440918</v>
      </c>
      <c r="BI58" s="1"/>
      <c r="BJ58" s="1"/>
      <c r="BK58" s="1"/>
    </row>
    <row r="59" spans="1:63" x14ac:dyDescent="0.25">
      <c r="A59" s="6" t="str">
        <f t="shared" si="0"/>
        <v>Y73M Production Wellhead2</v>
      </c>
      <c r="B59" s="1" t="s">
        <v>288</v>
      </c>
      <c r="C59" s="1">
        <v>2</v>
      </c>
      <c r="D59" s="1" t="s">
        <v>125</v>
      </c>
      <c r="E59" s="1" t="s">
        <v>59</v>
      </c>
      <c r="F59" s="1" t="s">
        <v>173</v>
      </c>
      <c r="G59" s="1" t="s">
        <v>64</v>
      </c>
      <c r="H59" s="2" t="s">
        <v>289</v>
      </c>
      <c r="I59" s="1">
        <v>50</v>
      </c>
      <c r="J59" s="1">
        <v>60.3</v>
      </c>
      <c r="K59" s="1">
        <v>9.1</v>
      </c>
      <c r="L59" s="2">
        <v>7.1</v>
      </c>
      <c r="M59" s="2">
        <v>2</v>
      </c>
      <c r="N59" s="2"/>
      <c r="O59" s="2">
        <v>21.97</v>
      </c>
      <c r="P59" s="2" t="s">
        <v>290</v>
      </c>
      <c r="Q59" s="2">
        <v>2.14</v>
      </c>
      <c r="R59" s="2">
        <v>7.0000000000000007E-2</v>
      </c>
      <c r="S59" s="1"/>
      <c r="T59" s="2">
        <v>2</v>
      </c>
      <c r="U59" s="1">
        <v>1</v>
      </c>
      <c r="V59" s="1"/>
      <c r="W59" s="1" t="s">
        <v>110</v>
      </c>
      <c r="X59" s="1" t="s">
        <v>65</v>
      </c>
      <c r="Y59" s="1" t="s">
        <v>66</v>
      </c>
      <c r="Z59" s="2">
        <v>63.07</v>
      </c>
      <c r="AA59" s="2">
        <v>2.48</v>
      </c>
      <c r="AB59" s="2">
        <v>3.12</v>
      </c>
      <c r="AC59" s="2"/>
      <c r="AD59" s="1">
        <v>25</v>
      </c>
      <c r="AE59" s="2">
        <v>2.52</v>
      </c>
      <c r="AF59" s="2">
        <v>0.12</v>
      </c>
      <c r="AG59" s="2">
        <v>5</v>
      </c>
      <c r="AH59" s="2">
        <v>1</v>
      </c>
      <c r="AI59" s="2" t="s">
        <v>111</v>
      </c>
      <c r="AJ59" s="2" t="s">
        <v>63</v>
      </c>
      <c r="AK59" s="1">
        <v>0</v>
      </c>
      <c r="AL59" s="1">
        <v>0</v>
      </c>
      <c r="AM59" s="1">
        <v>0</v>
      </c>
      <c r="AN59" s="2">
        <v>0</v>
      </c>
      <c r="AO59" s="2" t="s">
        <v>60</v>
      </c>
      <c r="AP59" s="2">
        <v>0.5</v>
      </c>
      <c r="AQ59" s="2">
        <v>0.2</v>
      </c>
      <c r="AR59" s="2">
        <v>31.54</v>
      </c>
      <c r="AS59" s="2">
        <v>0.62</v>
      </c>
      <c r="AT59" s="2">
        <v>0</v>
      </c>
      <c r="AU59" s="1"/>
      <c r="AV59" s="1" t="s">
        <v>59</v>
      </c>
      <c r="AW59" s="1"/>
      <c r="AX59" s="1" t="s">
        <v>61</v>
      </c>
      <c r="AY59" s="1"/>
      <c r="AZ59" s="2">
        <v>5.58</v>
      </c>
      <c r="BA59" s="2">
        <v>2.14</v>
      </c>
      <c r="BB59" s="2">
        <v>1.8</v>
      </c>
      <c r="BC59" s="2" t="s">
        <v>62</v>
      </c>
      <c r="BD59" s="2" t="s">
        <v>291</v>
      </c>
      <c r="BE59" s="1"/>
      <c r="BF59" s="2">
        <v>7.8638371216201666E-2</v>
      </c>
      <c r="BG59" s="2" t="s">
        <v>113</v>
      </c>
      <c r="BH59" s="2">
        <v>2.4800000190734863</v>
      </c>
      <c r="BI59" s="1"/>
      <c r="BJ59" s="1"/>
      <c r="BK59" s="1"/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4E09589-C3C7-4B36-84AB-868735B69E66}">
            <xm:f>B1 &lt;&gt; '\Documents\Databases\RC-DAT-1601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B1:BK11</xm:sqref>
        </x14:conditionalFormatting>
        <x14:conditionalFormatting xmlns:xm="http://schemas.microsoft.com/office/excel/2006/main">
          <x14:cfRule type="expression" priority="1" stopIfTrue="1" id="{EBB038CA-B62D-4FB4-8B5C-F6DBF18E0AD6}">
            <xm:f>B2 &lt;&gt; '\\rserver\RHINO\Documents\Databases\RC-DAT-1601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B12:BK59 B2:BH48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G71"/>
  <sheetViews>
    <sheetView tabSelected="1" zoomScaleNormal="100" zoomScalePageLayoutView="40" workbookViewId="0">
      <selection activeCell="S2" sqref="S2"/>
    </sheetView>
  </sheetViews>
  <sheetFormatPr defaultRowHeight="15" x14ac:dyDescent="0.25"/>
  <cols>
    <col min="1" max="1" width="11.7109375" customWidth="1"/>
    <col min="2" max="2" width="12.5703125" bestFit="1" customWidth="1"/>
    <col min="3" max="3" width="12.7109375" bestFit="1" customWidth="1"/>
    <col min="4" max="4" width="13.5703125" customWidth="1"/>
    <col min="5" max="5" width="11.42578125" customWidth="1"/>
    <col min="6" max="6" width="10.28515625" customWidth="1"/>
    <col min="9" max="9" width="10.7109375" bestFit="1" customWidth="1"/>
    <col min="19" max="19" width="9.140625" style="20"/>
    <col min="21" max="21" width="25.7109375" bestFit="1" customWidth="1"/>
    <col min="22" max="22" width="14.42578125" bestFit="1" customWidth="1"/>
    <col min="23" max="23" width="12" bestFit="1" customWidth="1"/>
    <col min="24" max="24" width="11.7109375" customWidth="1"/>
    <col min="26" max="26" width="12.7109375" bestFit="1" customWidth="1"/>
    <col min="27" max="28" width="9.28515625" bestFit="1" customWidth="1"/>
    <col min="30" max="30" width="12" bestFit="1" customWidth="1"/>
    <col min="31" max="32" width="9.28515625" bestFit="1" customWidth="1"/>
  </cols>
  <sheetData>
    <row r="1" spans="1:33" ht="15.75" thickBot="1" x14ac:dyDescent="0.3">
      <c r="A1" s="64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6"/>
      <c r="S1" s="63"/>
      <c r="U1" s="58" t="s">
        <v>295</v>
      </c>
      <c r="V1" s="58" t="s">
        <v>84</v>
      </c>
      <c r="W1" s="58" t="s">
        <v>82</v>
      </c>
      <c r="X1" s="58" t="s">
        <v>83</v>
      </c>
    </row>
    <row r="2" spans="1:33" x14ac:dyDescent="0.25">
      <c r="A2" s="52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4"/>
      <c r="S2" s="53"/>
      <c r="U2" s="32" t="s">
        <v>296</v>
      </c>
      <c r="V2" s="49">
        <v>42845</v>
      </c>
      <c r="W2" s="32"/>
      <c r="X2" s="32"/>
      <c r="Z2" s="41"/>
      <c r="AA2" s="42"/>
      <c r="AB2" s="42"/>
      <c r="AC2" s="43"/>
      <c r="AD2" s="41"/>
      <c r="AE2" s="42"/>
      <c r="AF2" s="42"/>
      <c r="AG2" s="43"/>
    </row>
    <row r="3" spans="1:33" x14ac:dyDescent="0.25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4"/>
      <c r="S3" s="53"/>
      <c r="U3" s="32" t="s">
        <v>296</v>
      </c>
      <c r="V3" s="49">
        <v>42845</v>
      </c>
      <c r="W3" s="32"/>
      <c r="X3" s="32"/>
      <c r="Z3" s="22"/>
      <c r="AA3" s="20"/>
      <c r="AB3" s="20"/>
      <c r="AC3" s="21"/>
      <c r="AD3" s="24" t="s">
        <v>101</v>
      </c>
      <c r="AE3" s="34"/>
      <c r="AF3" s="20"/>
      <c r="AG3" s="21"/>
    </row>
    <row r="4" spans="1:33" x14ac:dyDescent="0.25">
      <c r="A4" s="55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7"/>
      <c r="S4" s="56"/>
      <c r="U4" s="32"/>
      <c r="V4" s="32"/>
      <c r="W4" s="32"/>
      <c r="X4" s="32"/>
      <c r="Z4" s="23" t="s">
        <v>84</v>
      </c>
      <c r="AA4" s="18" t="s">
        <v>82</v>
      </c>
      <c r="AB4" s="11" t="s">
        <v>83</v>
      </c>
      <c r="AC4" s="21"/>
      <c r="AD4" s="23" t="s">
        <v>84</v>
      </c>
      <c r="AE4" s="18" t="s">
        <v>82</v>
      </c>
      <c r="AF4" s="11" t="s">
        <v>83</v>
      </c>
      <c r="AG4" s="21"/>
    </row>
    <row r="5" spans="1:33" x14ac:dyDescent="0.25">
      <c r="A5" s="74" t="s">
        <v>92</v>
      </c>
      <c r="B5" s="75"/>
      <c r="C5" s="67" t="s">
        <v>114</v>
      </c>
      <c r="D5" s="67"/>
      <c r="E5" s="59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U5" s="32"/>
      <c r="V5" s="32"/>
      <c r="W5" s="32"/>
      <c r="X5" s="32"/>
      <c r="Z5" s="25">
        <v>42845</v>
      </c>
      <c r="AA5" s="13">
        <v>0</v>
      </c>
      <c r="AB5" s="32"/>
      <c r="AC5" s="21"/>
      <c r="AD5" s="37">
        <v>42161</v>
      </c>
      <c r="AE5" s="13">
        <v>11.1</v>
      </c>
      <c r="AF5" s="38"/>
      <c r="AG5" s="21"/>
    </row>
    <row r="6" spans="1:33" x14ac:dyDescent="0.25">
      <c r="A6" s="74" t="s">
        <v>93</v>
      </c>
      <c r="B6" s="75"/>
      <c r="C6" s="67">
        <v>1</v>
      </c>
      <c r="D6" s="67"/>
      <c r="E6" s="59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1"/>
      <c r="U6" s="32"/>
      <c r="V6" s="48"/>
      <c r="W6" s="48"/>
      <c r="X6" s="32"/>
      <c r="Z6" s="25">
        <v>42845</v>
      </c>
      <c r="AA6" s="13">
        <v>11.1</v>
      </c>
      <c r="AB6" s="32"/>
      <c r="AC6" s="21"/>
      <c r="AD6" s="37">
        <v>42161</v>
      </c>
      <c r="AE6" s="13">
        <v>11.1</v>
      </c>
      <c r="AF6" s="39"/>
      <c r="AG6" s="21"/>
    </row>
    <row r="7" spans="1:33" x14ac:dyDescent="0.25">
      <c r="A7" s="74" t="s">
        <v>89</v>
      </c>
      <c r="B7" s="75"/>
      <c r="C7" s="67" t="s">
        <v>91</v>
      </c>
      <c r="D7" s="67"/>
      <c r="E7" s="59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1"/>
      <c r="U7" s="32"/>
      <c r="V7" s="48"/>
      <c r="W7" s="48"/>
      <c r="X7" s="32"/>
      <c r="Z7" s="33"/>
      <c r="AA7" s="34"/>
      <c r="AB7" s="20"/>
      <c r="AC7" s="21"/>
      <c r="AD7" s="61"/>
      <c r="AE7" s="34"/>
      <c r="AF7" s="56"/>
      <c r="AG7" s="21"/>
    </row>
    <row r="8" spans="1:33" x14ac:dyDescent="0.25">
      <c r="A8" s="72" t="s">
        <v>88</v>
      </c>
      <c r="B8" s="73"/>
      <c r="C8" s="77" t="str">
        <f>VLOOKUP($C$5&amp;$C$6,CML!$A$1:$BL$65535,8,FALSE)</f>
        <v>2015-06-01</v>
      </c>
      <c r="D8" s="77"/>
      <c r="E8" s="60"/>
      <c r="F8" s="20"/>
      <c r="G8" s="20"/>
      <c r="H8" s="20"/>
      <c r="I8" s="20"/>
      <c r="J8" s="20"/>
      <c r="K8" s="20"/>
      <c r="L8" s="20"/>
      <c r="M8" s="80"/>
      <c r="N8" s="80"/>
      <c r="O8" s="81"/>
      <c r="P8" s="81"/>
      <c r="Q8" s="35"/>
      <c r="R8" s="62"/>
      <c r="S8" s="35"/>
      <c r="U8" s="32"/>
      <c r="V8" s="48"/>
      <c r="W8" s="48"/>
      <c r="X8" s="32"/>
      <c r="Z8" s="19"/>
      <c r="AA8" s="20"/>
      <c r="AB8" s="20"/>
      <c r="AC8" s="21"/>
      <c r="AD8" s="33"/>
      <c r="AE8" s="34"/>
      <c r="AF8" s="20"/>
      <c r="AG8" s="21"/>
    </row>
    <row r="9" spans="1:33" x14ac:dyDescent="0.25">
      <c r="A9" s="72" t="s">
        <v>297</v>
      </c>
      <c r="B9" s="73"/>
      <c r="C9" s="76">
        <f>VLOOKUP($C$5&amp;$C$6,CML!$A$1:$BL$65535,13,FALSE)</f>
        <v>2.2000000000000002</v>
      </c>
      <c r="D9" s="76"/>
      <c r="E9" s="46"/>
      <c r="F9" s="20"/>
      <c r="G9" s="20"/>
      <c r="H9" s="20"/>
      <c r="I9" s="20"/>
      <c r="J9" s="20"/>
      <c r="K9" s="20"/>
      <c r="L9" s="20"/>
      <c r="M9" s="80"/>
      <c r="N9" s="80"/>
      <c r="O9" s="81"/>
      <c r="P9" s="81"/>
      <c r="Q9" s="35"/>
      <c r="R9" s="62"/>
      <c r="S9" s="35"/>
      <c r="U9" s="32"/>
      <c r="V9" s="48"/>
      <c r="W9" s="48"/>
      <c r="X9" s="32"/>
      <c r="Z9" s="24" t="s">
        <v>86</v>
      </c>
      <c r="AA9" s="20"/>
      <c r="AB9" s="20"/>
      <c r="AC9" s="21"/>
      <c r="AD9" s="24" t="s">
        <v>292</v>
      </c>
      <c r="AE9" s="34"/>
      <c r="AF9" s="20"/>
      <c r="AG9" s="21"/>
    </row>
    <row r="10" spans="1:33" x14ac:dyDescent="0.25">
      <c r="A10" s="68" t="s">
        <v>90</v>
      </c>
      <c r="B10" s="69"/>
      <c r="C10" s="76">
        <f>VLOOKUP($C$5&amp;$C$6,CML!$A$1:$BL$65535,11,FALSE)</f>
        <v>11.1</v>
      </c>
      <c r="D10" s="76"/>
      <c r="E10" s="46"/>
      <c r="F10" s="20"/>
      <c r="G10" s="20"/>
      <c r="H10" s="20"/>
      <c r="I10" s="20"/>
      <c r="J10" s="20"/>
      <c r="K10" s="20"/>
      <c r="L10" s="20"/>
      <c r="M10" s="80"/>
      <c r="N10" s="80"/>
      <c r="O10" s="81"/>
      <c r="P10" s="81"/>
      <c r="Q10" s="20"/>
      <c r="R10" s="21"/>
      <c r="U10" s="32"/>
      <c r="V10" s="48"/>
      <c r="W10" s="48"/>
      <c r="X10" s="32"/>
      <c r="Z10" s="23" t="s">
        <v>84</v>
      </c>
      <c r="AA10" s="18" t="s">
        <v>82</v>
      </c>
      <c r="AB10" s="11" t="s">
        <v>83</v>
      </c>
      <c r="AC10" s="21"/>
      <c r="AD10" s="23" t="s">
        <v>84</v>
      </c>
      <c r="AE10" s="18" t="s">
        <v>82</v>
      </c>
      <c r="AF10" s="11" t="s">
        <v>83</v>
      </c>
      <c r="AG10" s="21"/>
    </row>
    <row r="11" spans="1:33" x14ac:dyDescent="0.25">
      <c r="A11" s="78" t="s">
        <v>96</v>
      </c>
      <c r="B11" s="79"/>
      <c r="C11" s="76">
        <f>VLOOKUP($C$5&amp;$C$6,CML!$A$1:$BL$65535,28,FALSE)</f>
        <v>4.91</v>
      </c>
      <c r="D11" s="76"/>
      <c r="E11" s="46"/>
      <c r="F11" s="20"/>
      <c r="G11" s="20"/>
      <c r="H11" s="20"/>
      <c r="I11" s="20"/>
      <c r="J11" s="20"/>
      <c r="K11" s="20"/>
      <c r="L11" s="20"/>
      <c r="M11" s="80"/>
      <c r="N11" s="80"/>
      <c r="O11" s="81"/>
      <c r="P11" s="81"/>
      <c r="Q11" s="20"/>
      <c r="R11" s="21"/>
      <c r="U11" s="32"/>
      <c r="V11" s="48"/>
      <c r="W11" s="48"/>
      <c r="X11" s="32"/>
      <c r="Z11" s="25">
        <v>46735</v>
      </c>
      <c r="AA11" s="13">
        <v>0</v>
      </c>
      <c r="AB11" s="32"/>
      <c r="AC11" s="21"/>
      <c r="AD11" s="37">
        <v>42156</v>
      </c>
      <c r="AE11" s="13">
        <v>8.9599999999999991</v>
      </c>
      <c r="AF11" s="38"/>
      <c r="AG11" s="21"/>
    </row>
    <row r="12" spans="1:33" x14ac:dyDescent="0.25">
      <c r="A12" s="78" t="s">
        <v>97</v>
      </c>
      <c r="B12" s="79"/>
      <c r="C12" s="76">
        <f>VLOOKUP($C$5&amp;$C$6,CML!$A$1:$BL$65535,21,FALSE)</f>
        <v>1</v>
      </c>
      <c r="D12" s="76"/>
      <c r="E12" s="56"/>
      <c r="F12" s="20"/>
      <c r="G12" s="20"/>
      <c r="H12" s="20"/>
      <c r="I12" s="20"/>
      <c r="J12" s="20"/>
      <c r="K12" s="20"/>
      <c r="L12" s="20"/>
      <c r="M12" s="80"/>
      <c r="N12" s="80"/>
      <c r="O12" s="81"/>
      <c r="P12" s="81"/>
      <c r="Q12" s="20"/>
      <c r="R12" s="21"/>
      <c r="U12" s="32"/>
      <c r="V12" s="48"/>
      <c r="W12" s="48"/>
      <c r="X12" s="32"/>
      <c r="Z12" s="25">
        <v>46735</v>
      </c>
      <c r="AA12" s="13">
        <v>11.1</v>
      </c>
      <c r="AB12" s="32"/>
      <c r="AC12" s="21"/>
      <c r="AD12" s="37">
        <v>46735</v>
      </c>
      <c r="AE12" s="13">
        <v>8.9599999999999991</v>
      </c>
      <c r="AF12" s="39"/>
      <c r="AG12" s="21"/>
    </row>
    <row r="13" spans="1:33" x14ac:dyDescent="0.25">
      <c r="A13" s="78" t="s">
        <v>102</v>
      </c>
      <c r="B13" s="79"/>
      <c r="C13" s="76">
        <f>VLOOKUP($C$5&amp;$C$6,CML!$A$1:$BL$65535,58,FALSE)</f>
        <v>1.1587301587301588</v>
      </c>
      <c r="D13" s="76"/>
      <c r="E13" s="56"/>
      <c r="F13" s="20"/>
      <c r="G13" s="20"/>
      <c r="H13" s="20"/>
      <c r="I13" s="20"/>
      <c r="J13" s="20"/>
      <c r="K13" s="20"/>
      <c r="L13" s="20"/>
      <c r="M13" s="47"/>
      <c r="N13" s="47"/>
      <c r="O13" s="35"/>
      <c r="P13" s="35"/>
      <c r="Q13" s="20"/>
      <c r="R13" s="21"/>
      <c r="U13" s="32"/>
      <c r="V13" s="48"/>
      <c r="W13" s="48"/>
      <c r="X13" s="32"/>
      <c r="Z13" s="19"/>
      <c r="AA13" s="20"/>
      <c r="AB13" s="20"/>
      <c r="AC13" s="21"/>
      <c r="AD13" s="33"/>
      <c r="AE13" s="34"/>
      <c r="AF13" s="20"/>
      <c r="AG13" s="21"/>
    </row>
    <row r="14" spans="1:33" x14ac:dyDescent="0.25">
      <c r="A14" s="78" t="s">
        <v>103</v>
      </c>
      <c r="B14" s="79"/>
      <c r="C14" s="76">
        <f>VLOOKUP($C$5&amp;$C$6,CML!$A$1:$BL$65535,26,FALSE)</f>
        <v>5.83</v>
      </c>
      <c r="D14" s="76"/>
      <c r="E14" s="56"/>
      <c r="F14" s="20"/>
      <c r="G14" s="20"/>
      <c r="H14" s="20"/>
      <c r="I14" s="20"/>
      <c r="J14" s="20"/>
      <c r="K14" s="20"/>
      <c r="L14" s="20"/>
      <c r="M14" s="47"/>
      <c r="N14" s="47"/>
      <c r="O14" s="35"/>
      <c r="P14" s="35"/>
      <c r="Q14" s="20"/>
      <c r="R14" s="21"/>
      <c r="U14" s="32"/>
      <c r="V14" s="48"/>
      <c r="W14" s="48"/>
      <c r="X14" s="32"/>
      <c r="Z14" s="24" t="s">
        <v>87</v>
      </c>
      <c r="AA14" s="20"/>
      <c r="AB14" s="20"/>
      <c r="AC14" s="21"/>
      <c r="AD14" s="45" t="s">
        <v>293</v>
      </c>
      <c r="AG14" s="21"/>
    </row>
    <row r="15" spans="1:33" x14ac:dyDescent="0.25">
      <c r="A15" s="70" t="s">
        <v>104</v>
      </c>
      <c r="B15" s="71"/>
      <c r="C15" s="76">
        <f>VLOOKUP($C$5&amp;$C$6,CML!$A$1:$BL$65535,17,FALSE)</f>
        <v>2.14</v>
      </c>
      <c r="D15" s="76"/>
      <c r="E15" s="56"/>
      <c r="F15" s="20"/>
      <c r="G15" s="20"/>
      <c r="H15" s="20"/>
      <c r="I15" s="20"/>
      <c r="J15" s="20"/>
      <c r="K15" s="20"/>
      <c r="L15" s="20"/>
      <c r="M15" s="47"/>
      <c r="N15" s="47"/>
      <c r="O15" s="35"/>
      <c r="P15" s="35"/>
      <c r="Q15" s="20"/>
      <c r="R15" s="21"/>
      <c r="U15" s="32"/>
      <c r="V15" s="48"/>
      <c r="W15" s="48"/>
      <c r="X15" s="32"/>
      <c r="Z15" s="23" t="s">
        <v>84</v>
      </c>
      <c r="AA15" s="18" t="s">
        <v>82</v>
      </c>
      <c r="AB15" s="11" t="s">
        <v>83</v>
      </c>
      <c r="AC15" s="21"/>
      <c r="AD15" s="23" t="s">
        <v>84</v>
      </c>
      <c r="AE15" s="18" t="s">
        <v>82</v>
      </c>
      <c r="AF15" s="11" t="s">
        <v>83</v>
      </c>
      <c r="AG15" s="21"/>
    </row>
    <row r="16" spans="1:33" x14ac:dyDescent="0.25">
      <c r="A16" s="19"/>
      <c r="B16" s="20"/>
      <c r="C16" s="20"/>
      <c r="D16" s="20"/>
      <c r="E16" s="56"/>
      <c r="F16" s="20"/>
      <c r="G16" s="20"/>
      <c r="H16" s="20"/>
      <c r="I16" s="20"/>
      <c r="J16" s="20"/>
      <c r="K16" s="20"/>
      <c r="L16" s="20"/>
      <c r="M16" s="47"/>
      <c r="N16" s="47"/>
      <c r="O16" s="35"/>
      <c r="P16" s="35"/>
      <c r="Q16" s="20"/>
      <c r="R16" s="21"/>
      <c r="U16" s="32"/>
      <c r="V16" s="48"/>
      <c r="W16" s="48"/>
      <c r="X16" s="32"/>
      <c r="Z16" s="25">
        <v>42156</v>
      </c>
      <c r="AA16" s="13">
        <v>11.1</v>
      </c>
      <c r="AB16" s="32"/>
      <c r="AC16" s="21"/>
      <c r="AD16" s="25">
        <v>42156</v>
      </c>
      <c r="AE16" s="16">
        <v>0.5</v>
      </c>
      <c r="AF16" s="17">
        <v>0.12</v>
      </c>
      <c r="AG16" s="21"/>
    </row>
    <row r="17" spans="1:33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47"/>
      <c r="N17" s="47"/>
      <c r="O17" s="35"/>
      <c r="P17" s="35"/>
      <c r="Q17" s="20"/>
      <c r="R17" s="21"/>
      <c r="U17" s="32"/>
      <c r="V17" s="48"/>
      <c r="W17" s="48"/>
      <c r="X17" s="32"/>
      <c r="Z17" s="25">
        <v>46735</v>
      </c>
      <c r="AA17" s="13">
        <v>11.1</v>
      </c>
      <c r="AB17" s="32"/>
      <c r="AC17" s="21"/>
      <c r="AD17" s="25">
        <v>42845</v>
      </c>
      <c r="AE17" s="16">
        <v>0.72652054794520549</v>
      </c>
      <c r="AF17" s="17">
        <v>0</v>
      </c>
      <c r="AG17" s="21"/>
    </row>
    <row r="18" spans="1:33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1"/>
      <c r="U18" s="32"/>
      <c r="V18" s="32"/>
      <c r="W18" s="32"/>
      <c r="X18" s="32"/>
      <c r="Z18" s="19"/>
      <c r="AA18" s="20"/>
      <c r="AB18" s="20"/>
      <c r="AC18" s="21"/>
      <c r="AD18" s="25">
        <v>43676</v>
      </c>
      <c r="AE18" s="16">
        <v>1</v>
      </c>
      <c r="AF18" s="17">
        <v>0.12</v>
      </c>
      <c r="AG18" s="21"/>
    </row>
    <row r="19" spans="1:33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1"/>
      <c r="U19" s="32"/>
      <c r="V19" s="32"/>
      <c r="W19" s="32"/>
      <c r="X19" s="32"/>
      <c r="Z19" s="24" t="s">
        <v>95</v>
      </c>
      <c r="AA19" s="20"/>
      <c r="AB19" s="20"/>
      <c r="AC19" s="21"/>
      <c r="AD19" s="25">
        <v>44892</v>
      </c>
      <c r="AE19" s="16">
        <v>2</v>
      </c>
      <c r="AF19" s="17">
        <v>0.3</v>
      </c>
      <c r="AG19" s="21"/>
    </row>
    <row r="20" spans="1:33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1"/>
      <c r="U20" s="32"/>
      <c r="V20" s="32"/>
      <c r="W20" s="32"/>
      <c r="X20" s="32"/>
      <c r="Z20" s="23" t="s">
        <v>84</v>
      </c>
      <c r="AA20" s="18" t="s">
        <v>82</v>
      </c>
      <c r="AB20" s="11" t="s">
        <v>83</v>
      </c>
      <c r="AC20" s="21"/>
      <c r="AD20" s="25">
        <v>45257</v>
      </c>
      <c r="AE20" s="16">
        <v>3</v>
      </c>
      <c r="AF20" s="17">
        <v>1</v>
      </c>
      <c r="AG20" s="21"/>
    </row>
    <row r="21" spans="1:33" x14ac:dyDescent="0.25">
      <c r="A21" s="24" t="s">
        <v>85</v>
      </c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1"/>
      <c r="U21" s="32"/>
      <c r="V21" s="32"/>
      <c r="W21" s="32"/>
      <c r="X21" s="32"/>
      <c r="Z21" s="25">
        <v>42845</v>
      </c>
      <c r="AA21" s="13">
        <v>0.72652054794520549</v>
      </c>
      <c r="AB21" s="17">
        <v>0.97334704370179947</v>
      </c>
      <c r="AC21" s="21"/>
      <c r="AD21" s="25">
        <v>46735</v>
      </c>
      <c r="AE21" s="16">
        <v>11.1</v>
      </c>
      <c r="AF21" s="17">
        <v>2</v>
      </c>
      <c r="AG21" s="21"/>
    </row>
    <row r="22" spans="1:33" x14ac:dyDescent="0.25">
      <c r="A22" s="29" t="s">
        <v>74</v>
      </c>
      <c r="B22" s="11" t="s">
        <v>72</v>
      </c>
      <c r="C22" s="11" t="s">
        <v>76</v>
      </c>
      <c r="D22" s="11" t="s">
        <v>73</v>
      </c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1"/>
      <c r="U22" s="32"/>
      <c r="V22" s="32"/>
      <c r="W22" s="32"/>
      <c r="X22" s="32"/>
      <c r="Z22" s="25">
        <v>46735</v>
      </c>
      <c r="AA22" s="13">
        <v>11.1</v>
      </c>
      <c r="AB22" s="32"/>
      <c r="AC22" s="21"/>
      <c r="AD22" s="25"/>
      <c r="AE22" s="16"/>
      <c r="AF22" s="17"/>
      <c r="AG22" s="21"/>
    </row>
    <row r="23" spans="1:33" x14ac:dyDescent="0.25">
      <c r="A23" s="30" t="s">
        <v>75</v>
      </c>
      <c r="B23" s="9">
        <v>0</v>
      </c>
      <c r="C23" s="9">
        <f>3/25</f>
        <v>0.12</v>
      </c>
      <c r="D23" s="10" t="s">
        <v>77</v>
      </c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1"/>
      <c r="U23" s="32"/>
      <c r="V23" s="32"/>
      <c r="W23" s="32"/>
      <c r="X23" s="32"/>
      <c r="Z23" s="33"/>
      <c r="AA23" s="34"/>
      <c r="AB23" s="20"/>
      <c r="AC23" s="21"/>
      <c r="AD23" s="25"/>
      <c r="AE23" s="16"/>
      <c r="AF23" s="17"/>
      <c r="AG23" s="21"/>
    </row>
    <row r="24" spans="1:33" x14ac:dyDescent="0.25">
      <c r="A24" s="30" t="s">
        <v>75</v>
      </c>
      <c r="B24" s="9">
        <v>1</v>
      </c>
      <c r="C24" s="9">
        <v>0.3</v>
      </c>
      <c r="D24" s="10" t="s">
        <v>78</v>
      </c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1"/>
      <c r="U24" s="32"/>
      <c r="V24" s="32"/>
      <c r="W24" s="32"/>
      <c r="X24" s="32"/>
      <c r="Z24" s="24" t="s">
        <v>98</v>
      </c>
      <c r="AA24" s="20"/>
      <c r="AB24" s="20"/>
      <c r="AC24" s="21"/>
      <c r="AD24" s="25"/>
      <c r="AE24" s="16"/>
      <c r="AF24" s="17"/>
      <c r="AG24" s="21"/>
    </row>
    <row r="25" spans="1:33" x14ac:dyDescent="0.25">
      <c r="A25" s="30" t="s">
        <v>75</v>
      </c>
      <c r="B25" s="9">
        <v>2</v>
      </c>
      <c r="C25" s="9">
        <v>1</v>
      </c>
      <c r="D25" s="10" t="s">
        <v>79</v>
      </c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1"/>
      <c r="U25" s="32"/>
      <c r="V25" s="32"/>
      <c r="W25" s="32"/>
      <c r="X25" s="32"/>
      <c r="Z25" s="23" t="s">
        <v>84</v>
      </c>
      <c r="AA25" s="18" t="s">
        <v>82</v>
      </c>
      <c r="AB25" s="11" t="s">
        <v>83</v>
      </c>
      <c r="AC25" s="21"/>
      <c r="AD25" s="25"/>
      <c r="AE25" s="16"/>
      <c r="AF25" s="17"/>
      <c r="AG25" s="21"/>
    </row>
    <row r="26" spans="1:33" x14ac:dyDescent="0.25">
      <c r="A26" s="30" t="s">
        <v>75</v>
      </c>
      <c r="B26" s="9">
        <v>3</v>
      </c>
      <c r="C26" s="9">
        <v>2</v>
      </c>
      <c r="D26" s="10" t="s">
        <v>80</v>
      </c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1"/>
      <c r="U26" s="32"/>
      <c r="V26" s="32"/>
      <c r="W26" s="32"/>
      <c r="X26" s="32"/>
      <c r="Z26" s="37">
        <v>43948</v>
      </c>
      <c r="AA26" s="13">
        <v>0</v>
      </c>
      <c r="AB26" s="38"/>
      <c r="AC26" s="21"/>
      <c r="AD26" s="25"/>
      <c r="AE26" s="16"/>
      <c r="AF26" s="17"/>
      <c r="AG26" s="21"/>
    </row>
    <row r="27" spans="1:33" x14ac:dyDescent="0.25">
      <c r="A27" s="31" t="s">
        <v>75</v>
      </c>
      <c r="B27" s="9">
        <v>11.1</v>
      </c>
      <c r="C27" s="13">
        <v>0</v>
      </c>
      <c r="D27" s="14" t="s">
        <v>81</v>
      </c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1"/>
      <c r="U27" s="32"/>
      <c r="V27" s="32"/>
      <c r="W27" s="32"/>
      <c r="X27" s="32"/>
      <c r="Z27" s="37">
        <v>43948</v>
      </c>
      <c r="AA27" s="13">
        <v>11.1</v>
      </c>
      <c r="AB27" s="39"/>
      <c r="AC27" s="21"/>
      <c r="AD27" s="25"/>
      <c r="AE27" s="16"/>
      <c r="AF27" s="17"/>
      <c r="AG27" s="21"/>
    </row>
    <row r="28" spans="1:33" x14ac:dyDescent="0.25">
      <c r="A28" s="31" t="s">
        <v>294</v>
      </c>
      <c r="B28" s="9" t="s">
        <v>294</v>
      </c>
      <c r="C28" s="13" t="s">
        <v>294</v>
      </c>
      <c r="D28" s="13" t="s">
        <v>294</v>
      </c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1"/>
      <c r="U28" s="32"/>
      <c r="V28" s="32"/>
      <c r="W28" s="32"/>
      <c r="X28" s="32"/>
      <c r="Z28" s="33"/>
      <c r="AA28" s="34"/>
      <c r="AB28" s="20"/>
      <c r="AC28" s="21"/>
      <c r="AD28" s="36"/>
      <c r="AE28" s="32"/>
      <c r="AF28" s="32"/>
      <c r="AG28" s="21"/>
    </row>
    <row r="29" spans="1:33" x14ac:dyDescent="0.25">
      <c r="A29" s="31" t="s">
        <v>294</v>
      </c>
      <c r="B29" s="9" t="s">
        <v>294</v>
      </c>
      <c r="C29" s="13" t="s">
        <v>294</v>
      </c>
      <c r="D29" s="13" t="s">
        <v>294</v>
      </c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1"/>
      <c r="U29" s="32"/>
      <c r="V29" s="32"/>
      <c r="W29" s="32"/>
      <c r="X29" s="32"/>
      <c r="Z29" s="24" t="s">
        <v>99</v>
      </c>
      <c r="AA29" s="20"/>
      <c r="AB29" s="20"/>
      <c r="AC29" s="21"/>
      <c r="AD29" s="19"/>
      <c r="AE29" s="20"/>
      <c r="AF29" s="20"/>
      <c r="AG29" s="21"/>
    </row>
    <row r="30" spans="1:33" x14ac:dyDescent="0.25">
      <c r="A30" s="31" t="s">
        <v>294</v>
      </c>
      <c r="B30" s="9" t="s">
        <v>294</v>
      </c>
      <c r="C30" s="13" t="s">
        <v>294</v>
      </c>
      <c r="D30" s="13" t="s">
        <v>294</v>
      </c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1"/>
      <c r="U30" s="32"/>
      <c r="V30" s="32"/>
      <c r="W30" s="32"/>
      <c r="X30" s="32"/>
      <c r="Z30" s="23" t="s">
        <v>84</v>
      </c>
      <c r="AA30" s="18" t="s">
        <v>82</v>
      </c>
      <c r="AB30" s="11" t="s">
        <v>83</v>
      </c>
      <c r="AC30" s="21"/>
      <c r="AD30" s="19"/>
      <c r="AE30" s="20"/>
      <c r="AF30" s="20"/>
      <c r="AG30" s="21"/>
    </row>
    <row r="31" spans="1:33" x14ac:dyDescent="0.25">
      <c r="A31" s="31" t="s">
        <v>294</v>
      </c>
      <c r="B31" s="9" t="s">
        <v>294</v>
      </c>
      <c r="C31" s="13" t="s">
        <v>294</v>
      </c>
      <c r="D31" s="13" t="s">
        <v>294</v>
      </c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1"/>
      <c r="U31" s="32"/>
      <c r="V31" s="32"/>
      <c r="W31" s="32"/>
      <c r="X31" s="32"/>
      <c r="Z31" s="37">
        <v>42156</v>
      </c>
      <c r="AA31" s="13">
        <v>0.5</v>
      </c>
      <c r="AB31" s="38"/>
      <c r="AC31" s="21"/>
      <c r="AD31" s="19"/>
      <c r="AE31" s="20"/>
      <c r="AF31" s="20"/>
      <c r="AG31" s="21"/>
    </row>
    <row r="32" spans="1:33" x14ac:dyDescent="0.25">
      <c r="A32" s="31" t="s">
        <v>294</v>
      </c>
      <c r="B32" s="9" t="s">
        <v>294</v>
      </c>
      <c r="C32" s="13" t="s">
        <v>294</v>
      </c>
      <c r="D32" s="13" t="s">
        <v>294</v>
      </c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1"/>
      <c r="U32" s="32"/>
      <c r="V32" s="32"/>
      <c r="W32" s="32"/>
      <c r="X32" s="32"/>
      <c r="Z32" s="37">
        <v>43948</v>
      </c>
      <c r="AA32" s="13">
        <v>11.1</v>
      </c>
      <c r="AB32" s="39"/>
      <c r="AC32" s="21"/>
      <c r="AD32" s="19"/>
      <c r="AE32" s="20"/>
      <c r="AF32" s="20"/>
      <c r="AG32" s="21"/>
    </row>
    <row r="33" spans="1:33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1"/>
      <c r="U33" s="32"/>
      <c r="V33" s="32"/>
      <c r="W33" s="32"/>
      <c r="X33" s="32"/>
      <c r="Z33" s="33"/>
      <c r="AA33" s="34"/>
      <c r="AB33" s="20"/>
      <c r="AC33" s="21"/>
      <c r="AD33" s="19"/>
      <c r="AE33" s="20"/>
      <c r="AF33" s="20"/>
      <c r="AG33" s="21"/>
    </row>
    <row r="34" spans="1:33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1"/>
      <c r="U34" s="32"/>
      <c r="V34" s="32"/>
      <c r="W34" s="32"/>
      <c r="X34" s="32"/>
      <c r="Z34" s="24" t="s">
        <v>100</v>
      </c>
      <c r="AA34" s="34"/>
      <c r="AB34" s="20"/>
      <c r="AC34" s="21"/>
      <c r="AD34" s="19"/>
      <c r="AE34" s="20"/>
      <c r="AF34" s="20"/>
      <c r="AG34" s="21"/>
    </row>
    <row r="35" spans="1:33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1"/>
      <c r="U35" s="32"/>
      <c r="V35" s="32"/>
      <c r="W35" s="32"/>
      <c r="X35" s="32"/>
      <c r="Z35" s="23" t="s">
        <v>84</v>
      </c>
      <c r="AA35" s="18" t="s">
        <v>82</v>
      </c>
      <c r="AB35" s="11" t="s">
        <v>83</v>
      </c>
      <c r="AC35" s="21"/>
      <c r="AD35" s="19"/>
      <c r="AE35" s="20"/>
      <c r="AF35" s="20"/>
      <c r="AG35" s="21"/>
    </row>
    <row r="36" spans="1:33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1"/>
      <c r="U36" s="32"/>
      <c r="V36" s="32"/>
      <c r="W36" s="32"/>
      <c r="X36" s="32"/>
      <c r="Z36" s="37">
        <v>42156</v>
      </c>
      <c r="AA36" s="13">
        <v>0.5</v>
      </c>
      <c r="AB36" s="38"/>
      <c r="AC36" s="21"/>
      <c r="AD36" s="19"/>
      <c r="AE36" s="20"/>
      <c r="AF36" s="20"/>
      <c r="AG36" s="21"/>
    </row>
    <row r="37" spans="1:33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1"/>
      <c r="U37" s="32"/>
      <c r="V37" s="32"/>
      <c r="W37" s="32"/>
      <c r="X37" s="32"/>
      <c r="Z37" s="37">
        <v>44283</v>
      </c>
      <c r="AA37" s="13">
        <v>11.1</v>
      </c>
      <c r="AB37" s="39"/>
      <c r="AC37" s="21"/>
      <c r="AD37" s="19"/>
      <c r="AE37" s="20"/>
      <c r="AF37" s="20"/>
      <c r="AG37" s="21"/>
    </row>
    <row r="38" spans="1:33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1"/>
      <c r="T38" s="20"/>
      <c r="U38" s="32"/>
      <c r="V38" s="32"/>
      <c r="W38" s="32"/>
      <c r="X38" s="32"/>
      <c r="Z38" s="33"/>
      <c r="AA38" s="34"/>
      <c r="AB38" s="20"/>
      <c r="AC38" s="21"/>
      <c r="AD38" s="19"/>
      <c r="AE38" s="20"/>
      <c r="AF38" s="20"/>
      <c r="AG38" s="21"/>
    </row>
    <row r="39" spans="1:33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1"/>
      <c r="T39" s="20"/>
      <c r="U39" s="32"/>
      <c r="V39" s="32"/>
      <c r="W39" s="32"/>
      <c r="X39" s="32"/>
      <c r="Z39" s="19"/>
      <c r="AA39" s="20"/>
      <c r="AB39" s="20"/>
      <c r="AC39" s="21"/>
      <c r="AD39" s="19"/>
      <c r="AE39" s="20"/>
      <c r="AF39" s="20"/>
      <c r="AG39" s="21"/>
    </row>
    <row r="40" spans="1:33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1"/>
      <c r="T40" s="20"/>
      <c r="U40" s="32"/>
      <c r="V40" s="32"/>
      <c r="W40" s="32"/>
      <c r="X40" s="32"/>
    </row>
    <row r="41" spans="1:33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1"/>
      <c r="T41" s="20"/>
      <c r="U41" s="32"/>
      <c r="V41" s="32"/>
      <c r="W41" s="32"/>
      <c r="X41" s="32"/>
    </row>
    <row r="42" spans="1:33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1"/>
      <c r="T42" s="20"/>
    </row>
    <row r="43" spans="1:33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1"/>
      <c r="T43" s="20"/>
    </row>
    <row r="44" spans="1:33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1"/>
      <c r="T44" s="20"/>
    </row>
    <row r="45" spans="1:33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1"/>
      <c r="T45" s="20"/>
    </row>
    <row r="46" spans="1:33" x14ac:dyDescent="0.25">
      <c r="A46" s="19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1"/>
      <c r="T46" s="20"/>
    </row>
    <row r="47" spans="1:33" ht="15.75" thickBot="1" x14ac:dyDescent="0.3">
      <c r="A47" s="26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8"/>
      <c r="T47" s="20"/>
    </row>
    <row r="48" spans="1:33" s="20" customFormat="1" x14ac:dyDescent="0.25"/>
    <row r="49" spans="1:20" s="20" customFormat="1" x14ac:dyDescent="0.25"/>
    <row r="50" spans="1:20" s="20" customFormat="1" x14ac:dyDescent="0.25"/>
    <row r="51" spans="1:20" s="20" customFormat="1" x14ac:dyDescent="0.25"/>
    <row r="52" spans="1:20" x14ac:dyDescent="0.25">
      <c r="I52" s="20"/>
      <c r="J52" s="20"/>
      <c r="K52" s="20"/>
      <c r="L52" s="20"/>
      <c r="M52" s="20"/>
      <c r="N52" s="20"/>
      <c r="O52" s="20"/>
      <c r="P52" s="20"/>
      <c r="Q52" s="20"/>
      <c r="R52" s="20"/>
      <c r="T52" s="20"/>
    </row>
    <row r="53" spans="1:20" x14ac:dyDescent="0.25">
      <c r="I53" s="20"/>
      <c r="J53" s="20"/>
      <c r="K53" s="20"/>
      <c r="L53" s="20"/>
      <c r="M53" s="20"/>
      <c r="N53" s="20"/>
      <c r="O53" s="20"/>
      <c r="P53" s="20"/>
      <c r="Q53" s="20"/>
      <c r="R53" s="20"/>
      <c r="T53" s="20"/>
    </row>
    <row r="54" spans="1:20" x14ac:dyDescent="0.25">
      <c r="I54" s="20"/>
      <c r="J54" s="20"/>
      <c r="K54" s="20"/>
      <c r="L54" s="20"/>
      <c r="M54" s="20"/>
      <c r="N54" s="20"/>
      <c r="O54" s="20"/>
      <c r="P54" s="20"/>
      <c r="Q54" s="20"/>
      <c r="R54" s="20"/>
      <c r="T54" s="20"/>
    </row>
    <row r="55" spans="1:20" x14ac:dyDescent="0.25">
      <c r="I55" s="20"/>
      <c r="J55" s="20"/>
      <c r="K55" s="20"/>
      <c r="L55" s="20"/>
      <c r="M55" s="20"/>
      <c r="N55" s="20"/>
      <c r="O55" s="20"/>
      <c r="P55" s="20"/>
      <c r="Q55" s="20"/>
      <c r="R55" s="20"/>
      <c r="T55" s="20"/>
    </row>
    <row r="56" spans="1:20" x14ac:dyDescent="0.25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T56" s="20"/>
    </row>
    <row r="57" spans="1:20" x14ac:dyDescent="0.25">
      <c r="A57" s="50"/>
      <c r="B57" s="51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</row>
    <row r="58" spans="1:20" x14ac:dyDescent="0.25">
      <c r="A58" s="50"/>
      <c r="B58" s="51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</row>
    <row r="59" spans="1:20" x14ac:dyDescent="0.25">
      <c r="B59" s="15"/>
    </row>
    <row r="62" spans="1:20" x14ac:dyDescent="0.25">
      <c r="A62" s="44"/>
    </row>
    <row r="63" spans="1:20" x14ac:dyDescent="0.25">
      <c r="A63" s="44"/>
    </row>
    <row r="66" spans="1:1" x14ac:dyDescent="0.25">
      <c r="A66" s="44"/>
    </row>
    <row r="67" spans="1:1" x14ac:dyDescent="0.25">
      <c r="A67" s="44"/>
    </row>
    <row r="68" spans="1:1" x14ac:dyDescent="0.25">
      <c r="A68" s="44"/>
    </row>
    <row r="69" spans="1:1" x14ac:dyDescent="0.25">
      <c r="A69" s="44"/>
    </row>
    <row r="70" spans="1:1" x14ac:dyDescent="0.25">
      <c r="A70" s="44"/>
    </row>
    <row r="71" spans="1:1" x14ac:dyDescent="0.25">
      <c r="A71" s="44"/>
    </row>
  </sheetData>
  <sortState ref="A59:C64">
    <sortCondition ref="B59"/>
  </sortState>
  <mergeCells count="32">
    <mergeCell ref="M11:N11"/>
    <mergeCell ref="M12:N12"/>
    <mergeCell ref="O12:P12"/>
    <mergeCell ref="M8:N8"/>
    <mergeCell ref="O9:P9"/>
    <mergeCell ref="O8:P8"/>
    <mergeCell ref="M10:N10"/>
    <mergeCell ref="O10:P10"/>
    <mergeCell ref="M9:N9"/>
    <mergeCell ref="O11:P11"/>
    <mergeCell ref="A12:B12"/>
    <mergeCell ref="C11:D11"/>
    <mergeCell ref="A13:B13"/>
    <mergeCell ref="C12:D12"/>
    <mergeCell ref="A14:B14"/>
    <mergeCell ref="C13:D13"/>
    <mergeCell ref="C5:D5"/>
    <mergeCell ref="A10:B10"/>
    <mergeCell ref="A15:B15"/>
    <mergeCell ref="A9:B9"/>
    <mergeCell ref="A8:B8"/>
    <mergeCell ref="A6:B6"/>
    <mergeCell ref="A5:B5"/>
    <mergeCell ref="C15:D15"/>
    <mergeCell ref="C14:D14"/>
    <mergeCell ref="C8:D8"/>
    <mergeCell ref="C7:D7"/>
    <mergeCell ref="C6:D6"/>
    <mergeCell ref="A7:B7"/>
    <mergeCell ref="C9:D9"/>
    <mergeCell ref="A11:B11"/>
    <mergeCell ref="C10:D1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8" orientation="landscape" r:id="rId1"/>
  <headerFooter>
    <oddHeader>&amp;LACR Assessment Report&amp;R&amp;G</oddHeader>
    <oddFooter>&amp;LPrint Date: &amp;D &amp;T&amp;CPage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est">
                <anchor moveWithCells="1" sizeWithCells="1">
                  <from>
                    <xdr:col>0</xdr:col>
                    <xdr:colOff>142875</xdr:colOff>
                    <xdr:row>0</xdr:row>
                    <xdr:rowOff>142875</xdr:rowOff>
                  </from>
                  <to>
                    <xdr:col>1</xdr:col>
                    <xdr:colOff>523875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53D84C62-0499-4281-8AE6-C0769CE7E646}">
            <xm:f>V6 &lt;&gt; '\Documents\Databases\RC-DAT-1601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V6:W17</xm:sqref>
        </x14:conditionalFormatting>
        <x14:conditionalFormatting xmlns:xm="http://schemas.microsoft.com/office/excel/2006/main">
          <x14:cfRule type="expression" priority="1" stopIfTrue="1" id="{BBE7397D-CF0F-42AC-82D5-6DFF26269659}">
            <xm:f>V6 &lt;&gt; '\\rserver\RHINO\Documents\Databases\RC-DAT-1601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V6:W17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CML</vt:lpstr>
      <vt:lpstr>Wall_Loss_Vs_Time_Graph</vt:lpstr>
      <vt:lpstr>Wall_Loss_Vs_Time_Graph!Print_Area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Rhino113</dc:creator>
  <cp:lastModifiedBy>Rhino113</cp:lastModifiedBy>
  <cp:lastPrinted>2017-04-20T01:34:23Z</cp:lastPrinted>
  <dcterms:created xsi:type="dcterms:W3CDTF">2017-04-18T05:15:36Z</dcterms:created>
  <dcterms:modified xsi:type="dcterms:W3CDTF">2017-04-20T03:00:06Z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4c673eb8-05d7-4fd1-ab47-a002505f219f</vt:lpwstr>
  </property>
</Properties>
</file>