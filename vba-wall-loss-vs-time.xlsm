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wall-loss-vs-time\"/>
    </mc:Choice>
  </mc:AlternateContent>
  <bookViews>
    <workbookView xWindow="0" yWindow="0" windowWidth="17865" windowHeight="8820" activeTab="1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definedNames>
    <definedName name="_xlnm.Print_Area" localSheetId="1">Wall_Loss_Vs_Time_Graph!$A$1:$R$47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C23" i="2" l="1"/>
  <c r="A2" i="1"/>
  <c r="C9" i="2" l="1"/>
  <c r="C13" i="2"/>
  <c r="C8" i="2"/>
  <c r="C10" i="2"/>
  <c r="C14" i="2"/>
  <c r="C16" i="2"/>
  <c r="C11" i="2"/>
  <c r="C15" i="2"/>
  <c r="C12" i="2"/>
</calcChain>
</file>

<file path=xl/sharedStrings.xml><?xml version="1.0" encoding="utf-8"?>
<sst xmlns="http://schemas.openxmlformats.org/spreadsheetml/2006/main" count="1220" uniqueCount="306">
  <si>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</si>
  <si>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</si>
  <si>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</si>
  <si>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</si>
  <si>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</si>
  <si>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</si>
  <si>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</si>
  <si>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</si>
  <si>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</si>
  <si>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</si>
  <si>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</si>
  <si>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</si>
  <si>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</si>
  <si>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</si>
  <si>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</si>
  <si>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</si>
  <si>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</si>
  <si>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</si>
  <si>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</si>
  <si>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</si>
  <si>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</si>
  <si>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</si>
  <si>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</si>
  <si>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</si>
  <si>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</si>
  <si>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</si>
  <si>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</si>
  <si>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</si>
  <si>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</si>
  <si>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</si>
  <si>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</si>
  <si>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</si>
  <si>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</si>
  <si>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</si>
  <si>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</si>
  <si>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</si>
  <si>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</si>
  <si>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</si>
  <si>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</si>
  <si>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</si>
  <si>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</si>
  <si>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</si>
  <si>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</si>
  <si>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</si>
  <si>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</si>
  <si>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</si>
  <si>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</si>
  <si>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</si>
  <si>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</si>
  <si>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</si>
  <si>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</si>
  <si>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</si>
  <si>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</si>
  <si>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</si>
  <si>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</si>
  <si>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</si>
  <si>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</si>
  <si>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</si>
  <si>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</si>
  <si>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</si>
  <si>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</si>
  <si>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</si>
  <si>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</si>
  <si>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</si>
  <si>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</si>
  <si>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</si>
  <si>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</si>
  <si>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Remaining Life New</t>
  </si>
  <si>
    <t>Depth of Loss New</t>
  </si>
  <si>
    <t>ACR New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</si>
  <si>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</si>
  <si>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</si>
  <si>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</si>
  <si>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</si>
  <si>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</si>
  <si>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</si>
  <si>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</si>
  <si>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</si>
  <si>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</si>
  <si>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</si>
  <si>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</si>
  <si>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</si>
  <si>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</si>
  <si>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</si>
  <si>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Remaining Life Date</t>
  </si>
  <si>
    <t>Nominal Wall Thickness Value</t>
  </si>
  <si>
    <t>Last Inspection Date</t>
  </si>
  <si>
    <t>ACR Bands Array</t>
  </si>
  <si>
    <t>Nominal Wall Thickness</t>
  </si>
  <si>
    <t>Equipment_ID</t>
  </si>
  <si>
    <t>CML_ID</t>
  </si>
  <si>
    <t>PRIMARY KEY</t>
  </si>
  <si>
    <t>Recommended ACR</t>
  </si>
  <si>
    <t>Remaining Life</t>
  </si>
  <si>
    <t>ACR</t>
  </si>
  <si>
    <t>Current Remaining Life</t>
  </si>
  <si>
    <t>Current ACR</t>
  </si>
  <si>
    <t>Actual Corrosion Rate</t>
  </si>
  <si>
    <t>Actual Corrosion Rate Remaining Life</t>
  </si>
  <si>
    <t>Actual CR</t>
  </si>
  <si>
    <t>RL Actual CR</t>
  </si>
  <si>
    <t>Min Allow Wt</t>
  </si>
  <si>
    <t>B16 Production Wellhead</t>
  </si>
  <si>
    <t>Section 3</t>
  </si>
  <si>
    <t>Threaded 
straight pipe 
section 
between well 
head and 
annulus valve 
west</t>
  </si>
  <si>
    <t>2014-11-22</t>
  </si>
  <si>
    <t>29005</t>
  </si>
  <si>
    <t>Wall loss between than 2-3mm, increased CR (PW)</t>
  </si>
  <si>
    <t>Low</t>
  </si>
  <si>
    <t>2021-02-22</t>
  </si>
  <si>
    <t>BWI-1800-PF-D01</t>
  </si>
  <si>
    <t>B18M Production Wellhead</t>
  </si>
  <si>
    <t>Threaded pipe 
section 
between well 
head and 
annulus valve 
north</t>
  </si>
  <si>
    <t>2015-06-01</t>
  </si>
  <si>
    <t>27788</t>
  </si>
  <si>
    <t>2022-03-02</t>
  </si>
  <si>
    <t>B22A Production Wellhead</t>
  </si>
  <si>
    <t>Threaded 
straight pipe 
section 
between well 
head and 
annulus valve 
East</t>
  </si>
  <si>
    <t>2015-05-28</t>
  </si>
  <si>
    <t>27782</t>
  </si>
  <si>
    <t>2022-02-26</t>
  </si>
  <si>
    <t>B34 Production Wellhead</t>
  </si>
  <si>
    <t>Section 4</t>
  </si>
  <si>
    <t>Threaded 
straight pipe 
section 
between well 
head and 
annulus valve 
north</t>
  </si>
  <si>
    <t>2014-12-16</t>
  </si>
  <si>
    <t>29074</t>
  </si>
  <si>
    <t>2021-09-18</t>
  </si>
  <si>
    <t>B41B Production Wellhead</t>
  </si>
  <si>
    <t>Threaded 
straight pipe 
section 
between well 
head 
connecting 
flange and 
annulus valve 
east</t>
  </si>
  <si>
    <t>2014-12-17</t>
  </si>
  <si>
    <t>29082</t>
  </si>
  <si>
    <t>2021-01-06</t>
  </si>
  <si>
    <t>E23 Production Wellhead</t>
  </si>
  <si>
    <t>Section 2</t>
  </si>
  <si>
    <t>50NB straight 
pipe section off 
well head west to 
annulus valve</t>
  </si>
  <si>
    <t>2015-02-05</t>
  </si>
  <si>
    <t>29186</t>
  </si>
  <si>
    <t>2021-05-10</t>
  </si>
  <si>
    <t>Section 1</t>
  </si>
  <si>
    <t>50NB straight 
pipe section off 
well head east to 
annulus valve</t>
  </si>
  <si>
    <t>29187</t>
  </si>
  <si>
    <t>2021-12-15</t>
  </si>
  <si>
    <t>F21A Production Wellhead</t>
  </si>
  <si>
    <t>Threaded 
straight pipe 
section 
between well 
head and 
annulus valve
east</t>
  </si>
  <si>
    <t>2014-12-18</t>
  </si>
  <si>
    <t>29127</t>
  </si>
  <si>
    <t>F42 Production Wellhead</t>
  </si>
  <si>
    <t>Section 5</t>
  </si>
  <si>
    <t>Threaded 
straight pipe 
section 
between 
bottom well 
head and 
annulus valve 
West</t>
  </si>
  <si>
    <t>2015-01-10</t>
  </si>
  <si>
    <t>29153</t>
  </si>
  <si>
    <t>2021-10-10</t>
  </si>
  <si>
    <t>F43A Production Wellhead</t>
  </si>
  <si>
    <t>Threaded 
straight pipe 
section 
between well 
head and 
annulus valve 
south</t>
  </si>
  <si>
    <t>2015-01-09</t>
  </si>
  <si>
    <t>29144</t>
  </si>
  <si>
    <t>F44 Production Wellhead</t>
  </si>
  <si>
    <t>Threaded 
straight pipe 
section 
between well 
head and 
annulus valve 
east</t>
  </si>
  <si>
    <t>2014-12-21</t>
  </si>
  <si>
    <t>29113</t>
  </si>
  <si>
    <t>2021-04-29</t>
  </si>
  <si>
    <t>F44M Production Wellhead</t>
  </si>
  <si>
    <t>Threaded 
straight pipe 
section 
between 
bottom well 
head and 
annulus valve 
south</t>
  </si>
  <si>
    <t>2015-01-07</t>
  </si>
  <si>
    <t>29131</t>
  </si>
  <si>
    <t>2021-07-29</t>
  </si>
  <si>
    <t>Threaded 
straight pipe 
section 
between 
bottom well 
head and 
annulus valve 
north</t>
  </si>
  <si>
    <t>29132</t>
  </si>
  <si>
    <t>2021-09-04</t>
  </si>
  <si>
    <t>F55M Production Wellhead</t>
  </si>
  <si>
    <t>Threaded straight 
pipe section 
between well 
head and annulus 
valve</t>
  </si>
  <si>
    <t>2015-04-20</t>
  </si>
  <si>
    <t>27498</t>
  </si>
  <si>
    <t>F61 Production Wellhead</t>
  </si>
  <si>
    <t>29140</t>
  </si>
  <si>
    <t>2021-06-23</t>
  </si>
  <si>
    <t>29139</t>
  </si>
  <si>
    <t>F71 Production Wellhead</t>
  </si>
  <si>
    <t>Section 6</t>
  </si>
  <si>
    <t>Threaded 
straight pipe 
section 
between top 
well head and 
annulus valve 
west</t>
  </si>
  <si>
    <t>2014-12-20</t>
  </si>
  <si>
    <t>29100</t>
  </si>
  <si>
    <t>2021-01-10</t>
  </si>
  <si>
    <t>Threaded 
straight pipe 
section 
between top 
well head and 
annulus valve 
east</t>
  </si>
  <si>
    <t>29097</t>
  </si>
  <si>
    <t>2021-02-15</t>
  </si>
  <si>
    <t>G77M Production Wellhead</t>
  </si>
  <si>
    <t>2015-04-27</t>
  </si>
  <si>
    <t>28870</t>
  </si>
  <si>
    <t>2021-01-28</t>
  </si>
  <si>
    <t>K14 Production Wellhead</t>
  </si>
  <si>
    <t>50NB to 15NB 
reducing fitting 
to 15NB valve 
(west of well 
head)</t>
  </si>
  <si>
    <t>2015-01-14</t>
  </si>
  <si>
    <t>28233</t>
  </si>
  <si>
    <t>2021-08-06</t>
  </si>
  <si>
    <t>K62 Production Wellhead</t>
  </si>
  <si>
    <t>50NB straight 
pipe section from 
well head to 
annulus valve</t>
  </si>
  <si>
    <t>2015-03-16</t>
  </si>
  <si>
    <t>28697</t>
  </si>
  <si>
    <t>2019-10-04</t>
  </si>
  <si>
    <t>K66 Production Wellhead</t>
  </si>
  <si>
    <t>28701</t>
  </si>
  <si>
    <t>28702</t>
  </si>
  <si>
    <t>L23 Production Wellhead</t>
  </si>
  <si>
    <t>2015-03-15</t>
  </si>
  <si>
    <t>28678</t>
  </si>
  <si>
    <t>2020-12-15</t>
  </si>
  <si>
    <t>L62 Production Wellhead</t>
  </si>
  <si>
    <t>Threaded straight 
pipe section 
between well 
head and annulus 
valve
north</t>
  </si>
  <si>
    <t>2015-02-02</t>
  </si>
  <si>
    <t>28373</t>
  </si>
  <si>
    <t>L64 Production Wellhead</t>
  </si>
  <si>
    <t>50NB straight 
pipe section from 
well head south 
to valve</t>
  </si>
  <si>
    <t>2015-02-11</t>
  </si>
  <si>
    <t>28430</t>
  </si>
  <si>
    <t>2020-04-07</t>
  </si>
  <si>
    <t>L65 Production Wellhead</t>
  </si>
  <si>
    <t>50NB straight 
pipe section from 
well head east to 
annulus valve</t>
  </si>
  <si>
    <t>2015-02-15</t>
  </si>
  <si>
    <t>28454</t>
  </si>
  <si>
    <t>L82 Production Wellhead</t>
  </si>
  <si>
    <t>29103</t>
  </si>
  <si>
    <t>2021-03-24</t>
  </si>
  <si>
    <t>M23 Production Wellhead</t>
  </si>
  <si>
    <t>2015-03-09</t>
  </si>
  <si>
    <t>28657</t>
  </si>
  <si>
    <t>2021-09-26</t>
  </si>
  <si>
    <t>M24 Production Wellhead</t>
  </si>
  <si>
    <t>2015-03-07</t>
  </si>
  <si>
    <t>28605</t>
  </si>
  <si>
    <t>2021-07-15</t>
  </si>
  <si>
    <t>M26 Production Wellhead</t>
  </si>
  <si>
    <t>2015-03-08</t>
  </si>
  <si>
    <t>28637</t>
  </si>
  <si>
    <t>2020-07-15</t>
  </si>
  <si>
    <t>M27 Production Wellhead</t>
  </si>
  <si>
    <t>28632</t>
  </si>
  <si>
    <t>2020-09-26</t>
  </si>
  <si>
    <t>M84M Production Wellhead</t>
  </si>
  <si>
    <t>2015-04-01</t>
  </si>
  <si>
    <t>27391</t>
  </si>
  <si>
    <t>2021-11-27</t>
  </si>
  <si>
    <t>P21 Production Wellhead</t>
  </si>
  <si>
    <t>2015-03-04</t>
  </si>
  <si>
    <t>28566</t>
  </si>
  <si>
    <t>2021-09-22</t>
  </si>
  <si>
    <t>P23 Production Wellhead</t>
  </si>
  <si>
    <t>2015-06-03</t>
  </si>
  <si>
    <t>27846</t>
  </si>
  <si>
    <t>2021-11-16</t>
  </si>
  <si>
    <t>P24 Production Wellhead</t>
  </si>
  <si>
    <t>28570</t>
  </si>
  <si>
    <t>2020-12-04</t>
  </si>
  <si>
    <t>P46 Production Wellhead</t>
  </si>
  <si>
    <t>2015-03-05</t>
  </si>
  <si>
    <t>28575</t>
  </si>
  <si>
    <t>P66 Production Wellhead</t>
  </si>
  <si>
    <t>28629</t>
  </si>
  <si>
    <t>P71A Production Wellhead</t>
  </si>
  <si>
    <t>2015-06-06</t>
  </si>
  <si>
    <t>27867</t>
  </si>
  <si>
    <t>2021-04-14</t>
  </si>
  <si>
    <t>27868</t>
  </si>
  <si>
    <t>2021-09-07</t>
  </si>
  <si>
    <t>P81 Production Wellhead</t>
  </si>
  <si>
    <t>2015-03-06</t>
  </si>
  <si>
    <t>28593</t>
  </si>
  <si>
    <t>P86 Production Wellhead</t>
  </si>
  <si>
    <t>28589</t>
  </si>
  <si>
    <t>2021-02-19</t>
  </si>
  <si>
    <t>Q45 Production Wellhead</t>
  </si>
  <si>
    <t>Threaded straight 
pipe section 
between well 
head and annulus 
valve
east</t>
  </si>
  <si>
    <t>2015-02-26</t>
  </si>
  <si>
    <t>28530</t>
  </si>
  <si>
    <t>2022-04-22</t>
  </si>
  <si>
    <t>Q52A Production Wellhead</t>
  </si>
  <si>
    <t>28694</t>
  </si>
  <si>
    <t>2021-11-08</t>
  </si>
  <si>
    <t>Q78 Production Wellhead</t>
  </si>
  <si>
    <t>2015-03-11</t>
  </si>
  <si>
    <t>28671</t>
  </si>
  <si>
    <t>2021-01-17</t>
  </si>
  <si>
    <t>Q83 Production Wellhead</t>
  </si>
  <si>
    <t>28682</t>
  </si>
  <si>
    <t>2021-06-12</t>
  </si>
  <si>
    <t>Y73M Production Wellhead</t>
  </si>
  <si>
    <t>2015-06-02</t>
  </si>
  <si>
    <t>27822</t>
  </si>
  <si>
    <t>2020-05-17</t>
  </si>
  <si>
    <t>Maximum Allowable Wall Loss</t>
  </si>
  <si>
    <t>Plotted Data</t>
  </si>
  <si>
    <t>-</t>
  </si>
  <si>
    <t>Graph Name</t>
  </si>
  <si>
    <t>Todays Date Vertical Line</t>
  </si>
  <si>
    <t>Last Inspection Date WL</t>
  </si>
  <si>
    <t>end of life</t>
  </si>
  <si>
    <t>B23:C27</t>
  </si>
  <si>
    <t>Corrosion Rate Bands Lines</t>
  </si>
  <si>
    <t>Recommended RL Vertical Line</t>
  </si>
  <si>
    <t>Recommended ACR Line</t>
  </si>
  <si>
    <t>Current RL Vertical Line</t>
  </si>
  <si>
    <t>Current ACR Line</t>
  </si>
  <si>
    <t>Actual CR Line</t>
  </si>
  <si>
    <t>Actual CR RL Line</t>
  </si>
  <si>
    <t>Fail FFS Line</t>
  </si>
  <si>
    <t>Nominal Wall Thickness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</si>
</sst>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2" borderId="0" xfId="0" applyFill="1" applyAlignment="1"/>
    <xf numFmtId="0" fontId="0" fillId="2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Fill="1" applyBorder="1" applyAlignment="1">
      <alignment horizontal="left"/>
    </xf>
    <xf numFmtId="14" fontId="1" fillId="3" borderId="4" xfId="0" applyNumberFormat="1" applyFont="1" applyFill="1" applyBorder="1" applyAlignment="1">
      <alignment horizontal="center"/>
    </xf>
    <xf numFmtId="0" fontId="2" fillId="0" borderId="2" xfId="0" applyFont="1" applyBorder="1"/>
    <xf numFmtId="14" fontId="0" fillId="0" borderId="4" xfId="0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/>
    <xf numFmtId="14" fontId="0" fillId="0" borderId="2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/>
    <xf numFmtId="14" fontId="0" fillId="0" borderId="4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2" fillId="0" borderId="0" xfId="0" applyFont="1"/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14" fontId="0" fillId="0" borderId="0" xfId="0" applyNumberFormat="1" applyBorder="1"/>
    <xf numFmtId="19" fontId="0" fillId="0" borderId="0" xfId="0" applyNumberFormat="1" applyBorder="1"/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14" fontId="0" fillId="0" borderId="2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1" xfId="0" applyNumberFormat="1" applyFill="1" applyBorder="1" applyAlignment="1">
      <alignment horizontal="left"/>
    </xf>
    <xf numFmtId="0" fontId="1" fillId="0" borderId="0" xfId="0" applyFont="1" applyFill="1" applyAlignment="1"/>
    <xf numFmtId="2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/>
    <xf numFmtId="14" fontId="1" fillId="2" borderId="4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4" fontId="0" fillId="2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" fillId="2" borderId="2" xfId="0" applyFont="1" applyFill="1" applyBorder="1"/>
    <xf numFmtId="0" fontId="0" fillId="2" borderId="0" xfId="0" applyFill="1" applyBorder="1"/>
    <xf numFmtId="0" fontId="4" fillId="5" borderId="2" xfId="0" applyFont="1" applyFill="1" applyBorder="1"/>
    <xf numFmtId="0" fontId="5" fillId="5" borderId="0" xfId="0" applyFont="1" applyFill="1" applyBorder="1"/>
    <xf numFmtId="14" fontId="6" fillId="5" borderId="4" xfId="0" applyNumberFormat="1" applyFont="1" applyFill="1" applyBorder="1" applyAlignment="1">
      <alignment horizontal="center"/>
    </xf>
    <xf numFmtId="2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14" fontId="5" fillId="5" borderId="4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" xfId="0" applyFill="1" applyBorder="1"/>
    <xf numFmtId="0" fontId="0" fillId="7" borderId="0" xfId="0" applyFill="1"/>
    <xf numFmtId="14" fontId="0" fillId="7" borderId="0" xfId="0" applyNumberFormat="1" applyFill="1"/>
    <xf numFmtId="0" fontId="0" fillId="6" borderId="0" xfId="0" applyFill="1"/>
    <xf numFmtId="14" fontId="0" fillId="6" borderId="0" xfId="0" applyNumberFormat="1" applyFill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Wall_Loss_Vs_Time_Graph!#REF!</c:f>
            </c:numRef>
          </c:xVal>
          <c:yVal>
            <c:numRef>
              <c:f>Wall_Loss_Vs_Time_Graph!#REF!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Wall_Loss_Vs_Time_Graph!$Z$5:$Z$6</c:f>
              <c:numCache>
                <c:formatCode>m/d/yyyy</c:formatCode>
                <c:ptCount val="2"/>
                <c:pt idx="0">
                  <c:v>42845</c:v>
                </c:pt>
                <c:pt idx="1">
                  <c:v>42845</c:v>
                </c:pt>
              </c:numCache>
            </c:numRef>
          </c:xVal>
          <c:yVal>
            <c:numRef>
              <c:f>Wall_Loss_Vs_Time_Graph!$AA$5:$AA$6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2"/>
          <c:order val="2"/>
          <c:tx>
            <c:v>RL</c:v>
          </c:tx>
          <c:spPr>
            <a:ln w="19050" cap="rnd" cmpd="sng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Wall_Loss_Vs_Time_Graph!$Z$11:$Z$12</c:f>
              <c:numCache>
                <c:formatCode>m/d/yyyy</c:formatCode>
                <c:ptCount val="2"/>
                <c:pt idx="0">
                  <c:v>46735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Wall_Loss_Vs_Time_Graph!$AA$11:$AA$12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dPt>
          <c:xVal>
            <c:numRef>
              <c:f>Wall_Loss_Vs_Time_Graph!$Z$16:$Z$17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Wall_Loss_Vs_Time_Graph!$AA$16:$AA$17</c:f>
              <c:numCache>
                <c:formatCode>General</c:formatCode>
                <c:ptCount val="2"/>
                <c:pt idx="0">
                  <c:v>11.1</c:v>
                </c:pt>
                <c:pt idx="1">
                  <c:v>11.1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Wall_Loss_Vs_Time_Graph!$Z$21:$Z$22</c:f>
              <c:numCache>
                <c:formatCode>m/d/yyyy</c:formatCode>
                <c:ptCount val="2"/>
                <c:pt idx="0">
                  <c:v>42845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Wall_Loss_Vs_Time_Graph!$AA$21:$AA$22</c:f>
              <c:numCache>
                <c:formatCode>General</c:formatCode>
                <c:ptCount val="2"/>
                <c:pt idx="0">
                  <c:v>0.72652054794520549</c:v>
                </c:pt>
                <c:pt idx="1">
                  <c:v>11.1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Wall_Loss_Vs_Time_Graph!$Z$26:$Z$27</c:f>
              <c:numCache>
                <c:formatCode>m/d/yyyy</c:formatCode>
                <c:ptCount val="2"/>
                <c:pt idx="0">
                  <c:v>43948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Wall_Loss_Vs_Time_Graph!$AA$26:$AA$27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Wall_Loss_Vs_Time_Graph!$Z$31:$Z$32</c:f>
              <c:numCache>
                <c:formatCode>m/d/yyyy</c:formatCode>
                <c:ptCount val="2"/>
                <c:pt idx="0">
                  <c:v>42156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Wall_Loss_Vs_Time_Graph!$AA$31:$AA$32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</a:ln>
              <a:effectLst/>
            </c:spPr>
          </c:dPt>
          <c:xVal>
            <c:numRef>
              <c:f>Wall_Loss_Vs_Time_Graph!$Z$36:$Z$37</c:f>
              <c:numCache>
                <c:formatCode>m/d/yyyy</c:formatCode>
                <c:ptCount val="2"/>
                <c:pt idx="0">
                  <c:v>42156</c:v>
                </c:pt>
                <c:pt idx="1">
                  <c:v>44283</c:v>
                </c:pt>
              </c:numCache>
            </c:numRef>
          </c:xVal>
          <c:yVal>
            <c:numRef>
              <c:f>Wall_Loss_Vs_Time_Graph!$AA$36:$AA$37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 w="19050" cap="rnd" cmpd="sng">
              <a:solidFill>
                <a:schemeClr val="bg2">
                  <a:lumMod val="5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Wall_Loss_Vs_Time_Graph!$AD$11:$AD$12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Wall_Loss_Vs_Time_Graph!$AE$11:$AE$12</c:f>
              <c:numCache>
                <c:formatCode>General</c:formatCode>
                <c:ptCount val="2"/>
                <c:pt idx="0">
                  <c:v>8.9599999999999991</c:v>
                </c:pt>
                <c:pt idx="1">
                  <c:v>8.9599999999999991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36424"/>
        <c:axId val="177242696"/>
      </c:scatterChart>
      <c:valAx>
        <c:axId val="177236424"/>
        <c:scaling>
          <c:orientation val="minMax"/>
          <c:max val="44722"/>
          <c:min val="4215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42696"/>
        <c:crosses val="autoZero"/>
        <c:crossBetween val="midCat"/>
      </c:valAx>
      <c:valAx>
        <c:axId val="17724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364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67885068220670408"/>
          <c:h val="9.9280351482426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142876</xdr:colOff>
      <xdr:row>0</xdr:row>
      <xdr:rowOff>133350</xdr:rowOff>
    </xdr:from>
    <xdr:to>
      <xdr:col>17</xdr:col>
      <xdr:colOff>444501</xdr:colOff>
      <xdr:row>46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Databases/RC-DAT-1601%20IDMAS/Tools/IDMAS_DB_MANIPULATION/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9"/>
  <sheetViews>
    <sheetView topLeftCell="A31" workbookViewId="0">
      <selection activeCell="G65" sqref="G65"/>
    </sheetView>
  </sheetViews>
  <sheetFormatPr defaultRowHeight="15" x14ac:dyDescent="0.25"/>
  <cols>
    <col min="1" max="1" width="27.140625" style="2" bestFit="1" customWidth="1"/>
    <col min="2" max="60" width="2.5703125" style="3" customWidth="1"/>
    <col min="61" max="61" width="9.28515625" customWidth="1"/>
    <col min="62" max="62" width="17.7109375" style="3" bestFit="1" customWidth="1"/>
    <col min="63" max="63" width="9.140625" style="3" bestFit="1" customWidth="1"/>
    <col min="64" max="64" width="19" style="3" bestFit="1" customWidth="1"/>
    <col min="65" max="65" width="17.7109375" customWidth="1"/>
  </cols>
  <sheetData>
    <row r="1" spans="1:64" x14ac:dyDescent="0.25">
      <c r="A1" s="2" t="s">
        <v>91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  <c r="AL1" s="4" t="s">
        <v>36</v>
      </c>
      <c r="AM1" s="4" t="s">
        <v>37</v>
      </c>
      <c r="AN1" s="4" t="s">
        <v>38</v>
      </c>
      <c r="AO1" s="4" t="s">
        <v>39</v>
      </c>
      <c r="AP1" s="4" t="s">
        <v>40</v>
      </c>
      <c r="AQ1" s="4" t="s">
        <v>41</v>
      </c>
      <c r="AR1" s="4" t="s">
        <v>42</v>
      </c>
      <c r="AS1" s="4" t="s">
        <v>43</v>
      </c>
      <c r="AT1" s="4" t="s">
        <v>44</v>
      </c>
      <c r="AU1" s="4" t="s">
        <v>45</v>
      </c>
      <c r="AV1" s="4" t="s">
        <v>46</v>
      </c>
      <c r="AW1" s="4" t="s">
        <v>47</v>
      </c>
      <c r="AX1" s="4" t="s">
        <v>48</v>
      </c>
      <c r="AY1" s="4" t="s">
        <v>49</v>
      </c>
      <c r="AZ1" s="4" t="s">
        <v>50</v>
      </c>
      <c r="BA1" s="4" t="s">
        <v>51</v>
      </c>
      <c r="BB1" s="4" t="s">
        <v>52</v>
      </c>
      <c r="BC1" s="4" t="s">
        <v>53</v>
      </c>
      <c r="BD1" s="4" t="s">
        <v>54</v>
      </c>
      <c r="BE1" s="4" t="s">
        <v>55</v>
      </c>
      <c r="BF1" s="4" t="s">
        <v>56</v>
      </c>
      <c r="BG1" s="4" t="s">
        <v>57</v>
      </c>
      <c r="BH1" s="4" t="s">
        <v>58</v>
      </c>
      <c r="BJ1" s="1" t="s">
        <v>68</v>
      </c>
      <c r="BK1" s="1" t="s">
        <v>69</v>
      </c>
      <c r="BL1" s="1" t="s">
        <v>67</v>
      </c>
    </row>
    <row r="2" spans="1:64" x14ac:dyDescent="0.25">
      <c r="A2" s="2" t="str">
        <f>B2&amp;C2</f>
        <v>B16 Production Wellhead2</v>
      </c>
      <c r="B2" s="4" t="s">
        <v>102</v>
      </c>
      <c r="C2" s="4">
        <v>2</v>
      </c>
      <c r="D2" s="4" t="s">
        <v>103</v>
      </c>
      <c r="E2" s="4" t="s">
        <v>59</v>
      </c>
      <c r="F2" s="4" t="s">
        <v>104</v>
      </c>
      <c r="G2" s="4" t="s">
        <v>64</v>
      </c>
      <c r="H2" s="4" t="s">
        <v>105</v>
      </c>
      <c r="I2" s="4">
        <v>50</v>
      </c>
      <c r="J2" s="4">
        <v>60.3</v>
      </c>
      <c r="K2" s="4">
        <v>11.07</v>
      </c>
      <c r="L2" s="4">
        <v>8.4</v>
      </c>
      <c r="M2" s="4">
        <v>2.67</v>
      </c>
      <c r="N2" s="4">
        <v>24.11</v>
      </c>
      <c r="O2" s="4" t="s">
        <v>106</v>
      </c>
      <c r="P2" s="4">
        <v>2.14</v>
      </c>
      <c r="Q2" s="4">
        <v>0.1</v>
      </c>
      <c r="R2" s="4"/>
      <c r="S2" s="4">
        <v>2</v>
      </c>
      <c r="T2" s="4">
        <v>1</v>
      </c>
      <c r="U2" s="4" t="s">
        <v>107</v>
      </c>
      <c r="V2" s="4" t="s">
        <v>65</v>
      </c>
      <c r="W2" s="4" t="s">
        <v>66</v>
      </c>
      <c r="X2" s="4">
        <v>58.4</v>
      </c>
      <c r="Y2" s="4">
        <v>3.13</v>
      </c>
      <c r="Z2" s="4">
        <v>3.89</v>
      </c>
      <c r="AA2" s="4">
        <v>25</v>
      </c>
      <c r="AB2" s="4">
        <v>2.34</v>
      </c>
      <c r="AC2" s="4">
        <v>0.16</v>
      </c>
      <c r="AD2" s="4">
        <v>5</v>
      </c>
      <c r="AE2" s="4">
        <v>1</v>
      </c>
      <c r="AF2" s="4" t="s">
        <v>108</v>
      </c>
      <c r="AG2" s="4" t="s">
        <v>63</v>
      </c>
      <c r="AH2" s="4">
        <v>0</v>
      </c>
      <c r="AI2" s="4">
        <v>0</v>
      </c>
      <c r="AJ2" s="4">
        <v>0</v>
      </c>
      <c r="AK2" s="4">
        <v>0</v>
      </c>
      <c r="AL2" s="4" t="s">
        <v>60</v>
      </c>
      <c r="AM2" s="4">
        <v>0.5</v>
      </c>
      <c r="AN2" s="4">
        <v>0.2</v>
      </c>
      <c r="AO2" s="4">
        <v>29.2</v>
      </c>
      <c r="AP2" s="4">
        <v>0.78</v>
      </c>
      <c r="AQ2" s="4">
        <v>0</v>
      </c>
      <c r="AR2" s="4"/>
      <c r="AS2" s="4" t="s">
        <v>59</v>
      </c>
      <c r="AT2" s="4"/>
      <c r="AU2" s="4" t="s">
        <v>61</v>
      </c>
      <c r="AV2" s="4"/>
      <c r="AW2" s="4">
        <v>5.58</v>
      </c>
      <c r="AX2" s="4">
        <v>2.14</v>
      </c>
      <c r="AY2" s="4">
        <v>1.8</v>
      </c>
      <c r="AZ2" s="4" t="s">
        <v>62</v>
      </c>
      <c r="BA2" s="4" t="s">
        <v>109</v>
      </c>
      <c r="BB2" s="4"/>
      <c r="BC2" s="4">
        <v>0.10719942800571995</v>
      </c>
      <c r="BD2" s="4" t="s">
        <v>110</v>
      </c>
      <c r="BE2" s="4">
        <v>3.130000114440918</v>
      </c>
      <c r="BF2" s="4"/>
      <c r="BG2" s="4"/>
      <c r="BH2" s="4"/>
      <c r="BJ2" s="4"/>
      <c r="BK2" s="4"/>
      <c r="BL2" s="4"/>
    </row>
    <row r="3" spans="1:64" x14ac:dyDescent="0.25">
      <c r="A3" s="2" t="str">
        <f t="shared" ref="A3:A59" si="0">B3&amp;C3</f>
        <v>B18M Production Wellhead1</v>
      </c>
      <c r="B3" s="4" t="s">
        <v>111</v>
      </c>
      <c r="C3" s="4">
        <v>1</v>
      </c>
      <c r="D3" s="4" t="s">
        <v>103</v>
      </c>
      <c r="E3" s="4" t="s">
        <v>59</v>
      </c>
      <c r="F3" s="4" t="s">
        <v>112</v>
      </c>
      <c r="G3" s="4" t="s">
        <v>64</v>
      </c>
      <c r="H3" s="4" t="s">
        <v>113</v>
      </c>
      <c r="I3" s="4">
        <v>50</v>
      </c>
      <c r="J3" s="4">
        <v>60.3</v>
      </c>
      <c r="K3" s="4">
        <v>11.1</v>
      </c>
      <c r="L3" s="4">
        <v>8.9</v>
      </c>
      <c r="M3" s="4">
        <v>2.2000000000000002</v>
      </c>
      <c r="N3" s="4">
        <v>19.809999999999999</v>
      </c>
      <c r="O3" s="4" t="s">
        <v>114</v>
      </c>
      <c r="P3" s="4">
        <v>2.14</v>
      </c>
      <c r="Q3" s="4">
        <v>1.1499999999999999</v>
      </c>
      <c r="R3" s="4"/>
      <c r="S3" s="4">
        <v>2</v>
      </c>
      <c r="T3" s="4">
        <v>1</v>
      </c>
      <c r="U3" s="4" t="s">
        <v>107</v>
      </c>
      <c r="V3" s="4" t="s">
        <v>65</v>
      </c>
      <c r="W3" s="4" t="s">
        <v>66</v>
      </c>
      <c r="X3" s="4">
        <v>5.83</v>
      </c>
      <c r="Y3" s="4">
        <v>3.38</v>
      </c>
      <c r="Z3" s="4">
        <v>4.91</v>
      </c>
      <c r="AA3" s="4">
        <v>25</v>
      </c>
      <c r="AB3" s="4">
        <v>0.23</v>
      </c>
      <c r="AC3" s="4">
        <v>0.2</v>
      </c>
      <c r="AD3" s="4">
        <v>1</v>
      </c>
      <c r="AE3" s="4">
        <v>1</v>
      </c>
      <c r="AF3" s="4" t="s">
        <v>63</v>
      </c>
      <c r="AG3" s="4" t="s">
        <v>63</v>
      </c>
      <c r="AH3" s="4">
        <v>0</v>
      </c>
      <c r="AI3" s="4">
        <v>0</v>
      </c>
      <c r="AJ3" s="4">
        <v>0</v>
      </c>
      <c r="AK3" s="4">
        <v>0</v>
      </c>
      <c r="AL3" s="4" t="s">
        <v>60</v>
      </c>
      <c r="AM3" s="4">
        <v>0.2</v>
      </c>
      <c r="AN3" s="4">
        <v>0.2</v>
      </c>
      <c r="AO3" s="4">
        <v>1.17</v>
      </c>
      <c r="AP3" s="4">
        <v>0.98</v>
      </c>
      <c r="AQ3" s="4">
        <v>0</v>
      </c>
      <c r="AR3" s="4"/>
      <c r="AS3" s="4" t="s">
        <v>59</v>
      </c>
      <c r="AT3" s="4"/>
      <c r="AU3" s="4" t="s">
        <v>61</v>
      </c>
      <c r="AV3" s="4"/>
      <c r="AW3" s="4">
        <v>5.58</v>
      </c>
      <c r="AX3" s="4">
        <v>2.14</v>
      </c>
      <c r="AY3" s="4">
        <v>1.8</v>
      </c>
      <c r="AZ3" s="4" t="s">
        <v>62</v>
      </c>
      <c r="BA3" s="4" t="s">
        <v>115</v>
      </c>
      <c r="BB3" s="4"/>
      <c r="BC3" s="4">
        <v>1.1587301587301588</v>
      </c>
      <c r="BD3" s="4" t="s">
        <v>110</v>
      </c>
      <c r="BE3" s="4">
        <v>3.380000114440918</v>
      </c>
      <c r="BF3" s="4"/>
      <c r="BG3" s="4"/>
      <c r="BH3" s="4"/>
      <c r="BJ3" s="4"/>
      <c r="BK3" s="4"/>
      <c r="BL3" s="4"/>
    </row>
    <row r="4" spans="1:64" x14ac:dyDescent="0.25">
      <c r="A4" s="2" t="str">
        <f t="shared" si="0"/>
        <v>B22A Production Wellhead1</v>
      </c>
      <c r="B4" s="4" t="s">
        <v>116</v>
      </c>
      <c r="C4" s="4">
        <v>1</v>
      </c>
      <c r="D4" s="4" t="s">
        <v>103</v>
      </c>
      <c r="E4" s="4" t="s">
        <v>59</v>
      </c>
      <c r="F4" s="4" t="s">
        <v>117</v>
      </c>
      <c r="G4" s="4" t="s">
        <v>64</v>
      </c>
      <c r="H4" s="4" t="s">
        <v>118</v>
      </c>
      <c r="I4" s="4">
        <v>50</v>
      </c>
      <c r="J4" s="4">
        <v>60.3</v>
      </c>
      <c r="K4" s="4">
        <v>11.2</v>
      </c>
      <c r="L4" s="4">
        <v>8.9</v>
      </c>
      <c r="M4" s="4">
        <v>2.2999999999999998</v>
      </c>
      <c r="N4" s="4">
        <v>20.53</v>
      </c>
      <c r="O4" s="4" t="s">
        <v>119</v>
      </c>
      <c r="P4" s="4">
        <v>2.14</v>
      </c>
      <c r="Q4" s="4">
        <v>1.72</v>
      </c>
      <c r="R4" s="4"/>
      <c r="S4" s="4">
        <v>2</v>
      </c>
      <c r="T4" s="4">
        <v>1</v>
      </c>
      <c r="U4" s="4" t="s">
        <v>107</v>
      </c>
      <c r="V4" s="4" t="s">
        <v>65</v>
      </c>
      <c r="W4" s="4" t="s">
        <v>66</v>
      </c>
      <c r="X4" s="4">
        <v>3.91</v>
      </c>
      <c r="Y4" s="4">
        <v>3.38</v>
      </c>
      <c r="Z4" s="4">
        <v>4.9000000000000004</v>
      </c>
      <c r="AA4" s="4">
        <v>25</v>
      </c>
      <c r="AB4" s="4">
        <v>0.16</v>
      </c>
      <c r="AC4" s="4">
        <v>0.2</v>
      </c>
      <c r="AD4" s="4">
        <v>1</v>
      </c>
      <c r="AE4" s="4">
        <v>1</v>
      </c>
      <c r="AF4" s="4" t="s">
        <v>63</v>
      </c>
      <c r="AG4" s="4" t="s">
        <v>63</v>
      </c>
      <c r="AH4" s="4">
        <v>0</v>
      </c>
      <c r="AI4" s="4">
        <v>0</v>
      </c>
      <c r="AJ4" s="4">
        <v>0</v>
      </c>
      <c r="AK4" s="4">
        <v>0</v>
      </c>
      <c r="AL4" s="4" t="s">
        <v>60</v>
      </c>
      <c r="AM4" s="4">
        <v>0.2</v>
      </c>
      <c r="AN4" s="4">
        <v>0.2</v>
      </c>
      <c r="AO4" s="4">
        <v>0.78</v>
      </c>
      <c r="AP4" s="4">
        <v>0.98</v>
      </c>
      <c r="AQ4" s="4">
        <v>0</v>
      </c>
      <c r="AR4" s="4"/>
      <c r="AS4" s="4" t="s">
        <v>59</v>
      </c>
      <c r="AT4" s="4"/>
      <c r="AU4" s="4" t="s">
        <v>61</v>
      </c>
      <c r="AV4" s="4"/>
      <c r="AW4" s="4">
        <v>5.58</v>
      </c>
      <c r="AX4" s="4">
        <v>2.14</v>
      </c>
      <c r="AY4" s="4">
        <v>1.8</v>
      </c>
      <c r="AZ4" s="4" t="s">
        <v>62</v>
      </c>
      <c r="BA4" s="4" t="s">
        <v>120</v>
      </c>
      <c r="BB4" s="4"/>
      <c r="BC4" s="4">
        <v>1.7278106508875741</v>
      </c>
      <c r="BD4" s="4" t="s">
        <v>110</v>
      </c>
      <c r="BE4" s="4">
        <v>3.380000114440918</v>
      </c>
      <c r="BF4" s="4"/>
      <c r="BG4" s="4"/>
      <c r="BH4" s="4"/>
      <c r="BJ4" s="4"/>
      <c r="BK4" s="4"/>
      <c r="BL4" s="4"/>
    </row>
    <row r="5" spans="1:64" x14ac:dyDescent="0.25">
      <c r="A5" s="2" t="str">
        <f t="shared" si="0"/>
        <v>B34 Production Wellhead2</v>
      </c>
      <c r="B5" s="4" t="s">
        <v>121</v>
      </c>
      <c r="C5" s="4">
        <v>2</v>
      </c>
      <c r="D5" s="4" t="s">
        <v>122</v>
      </c>
      <c r="E5" s="4" t="s">
        <v>59</v>
      </c>
      <c r="F5" s="4" t="s">
        <v>123</v>
      </c>
      <c r="G5" s="4" t="s">
        <v>64</v>
      </c>
      <c r="H5" s="4" t="s">
        <v>124</v>
      </c>
      <c r="I5" s="4">
        <v>50</v>
      </c>
      <c r="J5" s="4">
        <v>60.3</v>
      </c>
      <c r="K5" s="4">
        <v>11.07</v>
      </c>
      <c r="L5" s="4">
        <v>8.9</v>
      </c>
      <c r="M5" s="4">
        <v>2.17</v>
      </c>
      <c r="N5" s="4">
        <v>19.600000000000001</v>
      </c>
      <c r="O5" s="4" t="s">
        <v>125</v>
      </c>
      <c r="P5" s="4">
        <v>2.14</v>
      </c>
      <c r="Q5" s="4">
        <v>0.08</v>
      </c>
      <c r="R5" s="4"/>
      <c r="S5" s="4">
        <v>2</v>
      </c>
      <c r="T5" s="4">
        <v>1</v>
      </c>
      <c r="U5" s="4" t="s">
        <v>107</v>
      </c>
      <c r="V5" s="4" t="s">
        <v>65</v>
      </c>
      <c r="W5" s="4" t="s">
        <v>66</v>
      </c>
      <c r="X5" s="4">
        <v>77.790000000000006</v>
      </c>
      <c r="Y5" s="4">
        <v>3.38</v>
      </c>
      <c r="Z5" s="4">
        <v>4.46</v>
      </c>
      <c r="AA5" s="4">
        <v>25</v>
      </c>
      <c r="AB5" s="4">
        <v>3.11</v>
      </c>
      <c r="AC5" s="4">
        <v>0.18</v>
      </c>
      <c r="AD5" s="4">
        <v>5</v>
      </c>
      <c r="AE5" s="4">
        <v>1</v>
      </c>
      <c r="AF5" s="4" t="s">
        <v>108</v>
      </c>
      <c r="AG5" s="4" t="s">
        <v>63</v>
      </c>
      <c r="AH5" s="4">
        <v>0</v>
      </c>
      <c r="AI5" s="4">
        <v>0</v>
      </c>
      <c r="AJ5" s="4">
        <v>0</v>
      </c>
      <c r="AK5" s="4">
        <v>0</v>
      </c>
      <c r="AL5" s="4" t="s">
        <v>60</v>
      </c>
      <c r="AM5" s="4">
        <v>0.5</v>
      </c>
      <c r="AN5" s="4">
        <v>0.2</v>
      </c>
      <c r="AO5" s="4">
        <v>38.9</v>
      </c>
      <c r="AP5" s="4">
        <v>0.89</v>
      </c>
      <c r="AQ5" s="4">
        <v>0</v>
      </c>
      <c r="AR5" s="4"/>
      <c r="AS5" s="4" t="s">
        <v>59</v>
      </c>
      <c r="AT5" s="4"/>
      <c r="AU5" s="4" t="s">
        <v>61</v>
      </c>
      <c r="AV5" s="4"/>
      <c r="AW5" s="4">
        <v>5.58</v>
      </c>
      <c r="AX5" s="4">
        <v>2.14</v>
      </c>
      <c r="AY5" s="4">
        <v>1.8</v>
      </c>
      <c r="AZ5" s="4" t="s">
        <v>62</v>
      </c>
      <c r="BA5" s="4" t="s">
        <v>126</v>
      </c>
      <c r="BB5" s="4"/>
      <c r="BC5" s="4">
        <v>8.6895227646736142E-2</v>
      </c>
      <c r="BD5" s="4" t="s">
        <v>110</v>
      </c>
      <c r="BE5" s="4">
        <v>3.380000114440918</v>
      </c>
      <c r="BF5" s="4"/>
      <c r="BG5" s="4"/>
      <c r="BH5" s="4"/>
      <c r="BJ5" s="4"/>
      <c r="BK5" s="4"/>
      <c r="BL5" s="4"/>
    </row>
    <row r="6" spans="1:64" x14ac:dyDescent="0.25">
      <c r="A6" s="2" t="str">
        <f t="shared" si="0"/>
        <v>B41B Production Wellhead2</v>
      </c>
      <c r="B6" s="4" t="s">
        <v>127</v>
      </c>
      <c r="C6" s="4">
        <v>2</v>
      </c>
      <c r="D6" s="4" t="s">
        <v>122</v>
      </c>
      <c r="E6" s="4" t="s">
        <v>59</v>
      </c>
      <c r="F6" s="4" t="s">
        <v>128</v>
      </c>
      <c r="G6" s="4" t="s">
        <v>64</v>
      </c>
      <c r="H6" s="4" t="s">
        <v>129</v>
      </c>
      <c r="I6" s="4">
        <v>50</v>
      </c>
      <c r="J6" s="4">
        <v>60.3</v>
      </c>
      <c r="K6" s="4">
        <v>11.07</v>
      </c>
      <c r="L6" s="4">
        <v>8.1999999999999993</v>
      </c>
      <c r="M6" s="4">
        <v>2.87</v>
      </c>
      <c r="N6" s="4">
        <v>25.92</v>
      </c>
      <c r="O6" s="4" t="s">
        <v>130</v>
      </c>
      <c r="P6" s="4">
        <v>2.14</v>
      </c>
      <c r="Q6" s="4">
        <v>0.11</v>
      </c>
      <c r="R6" s="4"/>
      <c r="S6" s="4">
        <v>2</v>
      </c>
      <c r="T6" s="4">
        <v>1</v>
      </c>
      <c r="U6" s="4" t="s">
        <v>107</v>
      </c>
      <c r="V6" s="4" t="s">
        <v>65</v>
      </c>
      <c r="W6" s="4" t="s">
        <v>66</v>
      </c>
      <c r="X6" s="4">
        <v>52.74</v>
      </c>
      <c r="Y6" s="4">
        <v>3.03</v>
      </c>
      <c r="Z6" s="4">
        <v>3.76</v>
      </c>
      <c r="AA6" s="4">
        <v>25</v>
      </c>
      <c r="AB6" s="4">
        <v>2.11</v>
      </c>
      <c r="AC6" s="4">
        <v>0.15</v>
      </c>
      <c r="AD6" s="4">
        <v>5</v>
      </c>
      <c r="AE6" s="4">
        <v>1</v>
      </c>
      <c r="AF6" s="4" t="s">
        <v>108</v>
      </c>
      <c r="AG6" s="4" t="s">
        <v>63</v>
      </c>
      <c r="AH6" s="4">
        <v>0</v>
      </c>
      <c r="AI6" s="4">
        <v>0</v>
      </c>
      <c r="AJ6" s="4">
        <v>0</v>
      </c>
      <c r="AK6" s="4">
        <v>0</v>
      </c>
      <c r="AL6" s="4" t="s">
        <v>60</v>
      </c>
      <c r="AM6" s="4">
        <v>0.5</v>
      </c>
      <c r="AN6" s="4">
        <v>0.2</v>
      </c>
      <c r="AO6" s="4">
        <v>26.37</v>
      </c>
      <c r="AP6" s="4">
        <v>0.75</v>
      </c>
      <c r="AQ6" s="4">
        <v>0</v>
      </c>
      <c r="AR6" s="4"/>
      <c r="AS6" s="4" t="s">
        <v>59</v>
      </c>
      <c r="AT6" s="4"/>
      <c r="AU6" s="4" t="s">
        <v>61</v>
      </c>
      <c r="AV6" s="4"/>
      <c r="AW6" s="4">
        <v>5.58</v>
      </c>
      <c r="AX6" s="4">
        <v>2.14</v>
      </c>
      <c r="AY6" s="4">
        <v>1.8</v>
      </c>
      <c r="AZ6" s="4" t="s">
        <v>62</v>
      </c>
      <c r="BA6" s="4" t="s">
        <v>131</v>
      </c>
      <c r="BB6" s="4"/>
      <c r="BC6" s="4">
        <v>0.11491333918385258</v>
      </c>
      <c r="BD6" s="4" t="s">
        <v>110</v>
      </c>
      <c r="BE6" s="4">
        <v>3.0299999713897705</v>
      </c>
      <c r="BF6" s="4"/>
      <c r="BG6" s="4"/>
      <c r="BH6" s="4"/>
      <c r="BJ6" s="4"/>
      <c r="BK6" s="4"/>
      <c r="BL6" s="4"/>
    </row>
    <row r="7" spans="1:64" x14ac:dyDescent="0.25">
      <c r="A7" s="2" t="str">
        <f t="shared" si="0"/>
        <v>E23 Production Wellhead9</v>
      </c>
      <c r="B7" s="4" t="s">
        <v>132</v>
      </c>
      <c r="C7" s="4">
        <v>9</v>
      </c>
      <c r="D7" s="4" t="s">
        <v>133</v>
      </c>
      <c r="E7" s="4" t="s">
        <v>59</v>
      </c>
      <c r="F7" s="4" t="s">
        <v>134</v>
      </c>
      <c r="G7" s="4" t="s">
        <v>64</v>
      </c>
      <c r="H7" s="4" t="s">
        <v>135</v>
      </c>
      <c r="I7" s="4">
        <v>50</v>
      </c>
      <c r="J7" s="4">
        <v>60.3</v>
      </c>
      <c r="K7" s="4">
        <v>11.07</v>
      </c>
      <c r="L7" s="4">
        <v>8.4</v>
      </c>
      <c r="M7" s="4">
        <v>2.67</v>
      </c>
      <c r="N7" s="4">
        <v>24.11</v>
      </c>
      <c r="O7" s="4" t="s">
        <v>136</v>
      </c>
      <c r="P7" s="4">
        <v>2.14</v>
      </c>
      <c r="Q7" s="4">
        <v>0.1</v>
      </c>
      <c r="R7" s="4"/>
      <c r="S7" s="4">
        <v>2</v>
      </c>
      <c r="T7" s="4">
        <v>1</v>
      </c>
      <c r="U7" s="4" t="s">
        <v>107</v>
      </c>
      <c r="V7" s="4" t="s">
        <v>65</v>
      </c>
      <c r="W7" s="4" t="s">
        <v>66</v>
      </c>
      <c r="X7" s="4">
        <v>58.88</v>
      </c>
      <c r="Y7" s="4">
        <v>3.13</v>
      </c>
      <c r="Z7" s="4">
        <v>4.0999999999999996</v>
      </c>
      <c r="AA7" s="4">
        <v>25</v>
      </c>
      <c r="AB7" s="4">
        <v>2.36</v>
      </c>
      <c r="AC7" s="4">
        <v>0.16</v>
      </c>
      <c r="AD7" s="4">
        <v>5</v>
      </c>
      <c r="AE7" s="4">
        <v>1</v>
      </c>
      <c r="AF7" s="4" t="s">
        <v>108</v>
      </c>
      <c r="AG7" s="4" t="s">
        <v>63</v>
      </c>
      <c r="AH7" s="4">
        <v>0</v>
      </c>
      <c r="AI7" s="4">
        <v>0</v>
      </c>
      <c r="AJ7" s="4">
        <v>0</v>
      </c>
      <c r="AK7" s="4">
        <v>0</v>
      </c>
      <c r="AL7" s="4" t="s">
        <v>60</v>
      </c>
      <c r="AM7" s="4">
        <v>0.5</v>
      </c>
      <c r="AN7" s="4">
        <v>0.2</v>
      </c>
      <c r="AO7" s="4">
        <v>29.44</v>
      </c>
      <c r="AP7" s="4">
        <v>0.82</v>
      </c>
      <c r="AQ7" s="4">
        <v>0</v>
      </c>
      <c r="AR7" s="4"/>
      <c r="AS7" s="4" t="s">
        <v>59</v>
      </c>
      <c r="AT7" s="4"/>
      <c r="AU7" s="4" t="s">
        <v>61</v>
      </c>
      <c r="AV7" s="4"/>
      <c r="AW7" s="4">
        <v>5.58</v>
      </c>
      <c r="AX7" s="4">
        <v>2.14</v>
      </c>
      <c r="AY7" s="4">
        <v>1.8</v>
      </c>
      <c r="AZ7" s="4" t="s">
        <v>62</v>
      </c>
      <c r="BA7" s="4" t="s">
        <v>137</v>
      </c>
      <c r="BB7" s="4"/>
      <c r="BC7" s="4">
        <v>0.10632227798385337</v>
      </c>
      <c r="BD7" s="4" t="s">
        <v>110</v>
      </c>
      <c r="BE7" s="4">
        <v>3.130000114440918</v>
      </c>
      <c r="BF7" s="4"/>
      <c r="BG7" s="4"/>
      <c r="BH7" s="4"/>
      <c r="BJ7" s="4"/>
      <c r="BK7" s="4"/>
      <c r="BL7" s="4"/>
    </row>
    <row r="8" spans="1:64" x14ac:dyDescent="0.25">
      <c r="A8" s="2" t="str">
        <f t="shared" si="0"/>
        <v>E23 Production Wellhead10</v>
      </c>
      <c r="B8" s="4" t="s">
        <v>132</v>
      </c>
      <c r="C8" s="4">
        <v>10</v>
      </c>
      <c r="D8" s="4" t="s">
        <v>138</v>
      </c>
      <c r="E8" s="4" t="s">
        <v>59</v>
      </c>
      <c r="F8" s="4" t="s">
        <v>139</v>
      </c>
      <c r="G8" s="4" t="s">
        <v>64</v>
      </c>
      <c r="H8" s="4" t="s">
        <v>135</v>
      </c>
      <c r="I8" s="4">
        <v>50</v>
      </c>
      <c r="J8" s="4">
        <v>60.3</v>
      </c>
      <c r="K8" s="4">
        <v>11.07</v>
      </c>
      <c r="L8" s="4">
        <v>9</v>
      </c>
      <c r="M8" s="4">
        <v>2.0699999999999998</v>
      </c>
      <c r="N8" s="4">
        <v>18.690000000000001</v>
      </c>
      <c r="O8" s="4" t="s">
        <v>140</v>
      </c>
      <c r="P8" s="4">
        <v>2.14</v>
      </c>
      <c r="Q8" s="4">
        <v>0.08</v>
      </c>
      <c r="R8" s="4"/>
      <c r="S8" s="4">
        <v>2</v>
      </c>
      <c r="T8" s="4">
        <v>1</v>
      </c>
      <c r="U8" s="4" t="s">
        <v>107</v>
      </c>
      <c r="V8" s="4" t="s">
        <v>65</v>
      </c>
      <c r="W8" s="4" t="s">
        <v>66</v>
      </c>
      <c r="X8" s="4">
        <v>83.22</v>
      </c>
      <c r="Y8" s="4">
        <v>3.43</v>
      </c>
      <c r="Z8" s="4">
        <v>4.7</v>
      </c>
      <c r="AA8" s="4">
        <v>25</v>
      </c>
      <c r="AB8" s="4">
        <v>3.33</v>
      </c>
      <c r="AC8" s="4">
        <v>0.19</v>
      </c>
      <c r="AD8" s="4">
        <v>5</v>
      </c>
      <c r="AE8" s="4">
        <v>1</v>
      </c>
      <c r="AF8" s="4" t="s">
        <v>108</v>
      </c>
      <c r="AG8" s="4" t="s">
        <v>63</v>
      </c>
      <c r="AH8" s="4">
        <v>0</v>
      </c>
      <c r="AI8" s="4">
        <v>0</v>
      </c>
      <c r="AJ8" s="4">
        <v>0</v>
      </c>
      <c r="AK8" s="4">
        <v>0</v>
      </c>
      <c r="AL8" s="4" t="s">
        <v>60</v>
      </c>
      <c r="AM8" s="4">
        <v>0.5</v>
      </c>
      <c r="AN8" s="4">
        <v>0.2</v>
      </c>
      <c r="AO8" s="4">
        <v>41.61</v>
      </c>
      <c r="AP8" s="4">
        <v>0.94</v>
      </c>
      <c r="AQ8" s="4">
        <v>0</v>
      </c>
      <c r="AR8" s="4"/>
      <c r="AS8" s="4" t="s">
        <v>59</v>
      </c>
      <c r="AT8" s="4"/>
      <c r="AU8" s="4" t="s">
        <v>61</v>
      </c>
      <c r="AV8" s="4"/>
      <c r="AW8" s="4">
        <v>5.58</v>
      </c>
      <c r="AX8" s="4">
        <v>2.14</v>
      </c>
      <c r="AY8" s="4">
        <v>1.8</v>
      </c>
      <c r="AZ8" s="4" t="s">
        <v>62</v>
      </c>
      <c r="BA8" s="4" t="s">
        <v>141</v>
      </c>
      <c r="BB8" s="4"/>
      <c r="BC8" s="4">
        <v>8.2429631245908783E-2</v>
      </c>
      <c r="BD8" s="4" t="s">
        <v>110</v>
      </c>
      <c r="BE8" s="4">
        <v>3.4300000667572021</v>
      </c>
      <c r="BF8" s="4"/>
      <c r="BG8" s="4"/>
      <c r="BH8" s="4"/>
      <c r="BJ8" s="4"/>
      <c r="BK8" s="4"/>
      <c r="BL8" s="4"/>
    </row>
    <row r="9" spans="1:64" x14ac:dyDescent="0.25">
      <c r="A9" s="2" t="str">
        <f t="shared" si="0"/>
        <v>F21A Production Wellhead2</v>
      </c>
      <c r="B9" s="4" t="s">
        <v>142</v>
      </c>
      <c r="C9" s="4">
        <v>2</v>
      </c>
      <c r="D9" s="4" t="s">
        <v>122</v>
      </c>
      <c r="E9" s="4" t="s">
        <v>59</v>
      </c>
      <c r="F9" s="4" t="s">
        <v>143</v>
      </c>
      <c r="G9" s="4" t="s">
        <v>64</v>
      </c>
      <c r="H9" s="4" t="s">
        <v>144</v>
      </c>
      <c r="I9" s="4">
        <v>50</v>
      </c>
      <c r="J9" s="4">
        <v>60.3</v>
      </c>
      <c r="K9" s="4">
        <v>11.07</v>
      </c>
      <c r="L9" s="4">
        <v>8.9</v>
      </c>
      <c r="M9" s="4">
        <v>2.17</v>
      </c>
      <c r="N9" s="4">
        <v>19.600000000000001</v>
      </c>
      <c r="O9" s="4" t="s">
        <v>145</v>
      </c>
      <c r="P9" s="4">
        <v>2.14</v>
      </c>
      <c r="Q9" s="4">
        <v>0.08</v>
      </c>
      <c r="R9" s="4"/>
      <c r="S9" s="4">
        <v>2</v>
      </c>
      <c r="T9" s="4">
        <v>1</v>
      </c>
      <c r="U9" s="4" t="s">
        <v>107</v>
      </c>
      <c r="V9" s="4" t="s">
        <v>65</v>
      </c>
      <c r="W9" s="4" t="s">
        <v>66</v>
      </c>
      <c r="X9" s="4">
        <v>77.81</v>
      </c>
      <c r="Y9" s="4">
        <v>3.38</v>
      </c>
      <c r="Z9" s="4">
        <v>4.46</v>
      </c>
      <c r="AA9" s="4">
        <v>25</v>
      </c>
      <c r="AB9" s="4">
        <v>3.11</v>
      </c>
      <c r="AC9" s="4">
        <v>0.18</v>
      </c>
      <c r="AD9" s="4">
        <v>5</v>
      </c>
      <c r="AE9" s="4">
        <v>1</v>
      </c>
      <c r="AF9" s="4" t="s">
        <v>108</v>
      </c>
      <c r="AG9" s="4" t="s">
        <v>63</v>
      </c>
      <c r="AH9" s="4">
        <v>0</v>
      </c>
      <c r="AI9" s="4">
        <v>0</v>
      </c>
      <c r="AJ9" s="4">
        <v>0</v>
      </c>
      <c r="AK9" s="4">
        <v>0</v>
      </c>
      <c r="AL9" s="4" t="s">
        <v>60</v>
      </c>
      <c r="AM9" s="4">
        <v>0.5</v>
      </c>
      <c r="AN9" s="4">
        <v>0.2</v>
      </c>
      <c r="AO9" s="4">
        <v>38.909999999999997</v>
      </c>
      <c r="AP9" s="4">
        <v>0.89</v>
      </c>
      <c r="AQ9" s="4">
        <v>0</v>
      </c>
      <c r="AR9" s="4"/>
      <c r="AS9" s="4" t="s">
        <v>59</v>
      </c>
      <c r="AT9" s="4"/>
      <c r="AU9" s="4" t="s">
        <v>61</v>
      </c>
      <c r="AV9" s="4"/>
      <c r="AW9" s="4">
        <v>5.58</v>
      </c>
      <c r="AX9" s="4">
        <v>2.14</v>
      </c>
      <c r="AY9" s="4">
        <v>1.8</v>
      </c>
      <c r="AZ9" s="4" t="s">
        <v>62</v>
      </c>
      <c r="BA9" s="4" t="s">
        <v>126</v>
      </c>
      <c r="BB9" s="4"/>
      <c r="BC9" s="4">
        <v>8.6876165405286823E-2</v>
      </c>
      <c r="BD9" s="4" t="s">
        <v>110</v>
      </c>
      <c r="BE9" s="4">
        <v>3.380000114440918</v>
      </c>
      <c r="BF9" s="4"/>
      <c r="BG9" s="4"/>
      <c r="BH9" s="4"/>
      <c r="BJ9" s="4"/>
      <c r="BK9" s="4"/>
      <c r="BL9" s="4"/>
    </row>
    <row r="10" spans="1:64" x14ac:dyDescent="0.25">
      <c r="A10" s="2" t="str">
        <f t="shared" si="0"/>
        <v>F42 Production Wellhead3</v>
      </c>
      <c r="B10" s="4" t="s">
        <v>146</v>
      </c>
      <c r="C10" s="4">
        <v>3</v>
      </c>
      <c r="D10" s="4" t="s">
        <v>147</v>
      </c>
      <c r="E10" s="4" t="s">
        <v>59</v>
      </c>
      <c r="F10" s="4" t="s">
        <v>148</v>
      </c>
      <c r="G10" s="4" t="s">
        <v>64</v>
      </c>
      <c r="H10" s="4" t="s">
        <v>149</v>
      </c>
      <c r="I10" s="4">
        <v>50</v>
      </c>
      <c r="J10" s="4">
        <v>60.3</v>
      </c>
      <c r="K10" s="4">
        <v>11.07</v>
      </c>
      <c r="L10" s="4">
        <v>8.9</v>
      </c>
      <c r="M10" s="4">
        <v>2.17</v>
      </c>
      <c r="N10" s="4">
        <v>19.600000000000001</v>
      </c>
      <c r="O10" s="4" t="s">
        <v>150</v>
      </c>
      <c r="P10" s="4">
        <v>2.14</v>
      </c>
      <c r="Q10" s="4">
        <v>0.08</v>
      </c>
      <c r="R10" s="4"/>
      <c r="S10" s="4">
        <v>2</v>
      </c>
      <c r="T10" s="4">
        <v>1</v>
      </c>
      <c r="U10" s="4" t="s">
        <v>107</v>
      </c>
      <c r="V10" s="4" t="s">
        <v>65</v>
      </c>
      <c r="W10" s="4" t="s">
        <v>66</v>
      </c>
      <c r="X10" s="4">
        <v>78.010000000000005</v>
      </c>
      <c r="Y10" s="4">
        <v>3.38</v>
      </c>
      <c r="Z10" s="4">
        <v>4.5199999999999996</v>
      </c>
      <c r="AA10" s="4">
        <v>25</v>
      </c>
      <c r="AB10" s="4">
        <v>3.12</v>
      </c>
      <c r="AC10" s="4">
        <v>0.18</v>
      </c>
      <c r="AD10" s="4">
        <v>5</v>
      </c>
      <c r="AE10" s="4">
        <v>1</v>
      </c>
      <c r="AF10" s="4" t="s">
        <v>108</v>
      </c>
      <c r="AG10" s="4" t="s">
        <v>63</v>
      </c>
      <c r="AH10" s="4">
        <v>0</v>
      </c>
      <c r="AI10" s="4">
        <v>0</v>
      </c>
      <c r="AJ10" s="4">
        <v>0</v>
      </c>
      <c r="AK10" s="4">
        <v>0</v>
      </c>
      <c r="AL10" s="4" t="s">
        <v>60</v>
      </c>
      <c r="AM10" s="4">
        <v>0.5</v>
      </c>
      <c r="AN10" s="4">
        <v>0.2</v>
      </c>
      <c r="AO10" s="4">
        <v>39.01</v>
      </c>
      <c r="AP10" s="4">
        <v>0.9</v>
      </c>
      <c r="AQ10" s="4">
        <v>0</v>
      </c>
      <c r="AR10" s="4"/>
      <c r="AS10" s="4" t="s">
        <v>59</v>
      </c>
      <c r="AT10" s="4"/>
      <c r="AU10" s="4" t="s">
        <v>61</v>
      </c>
      <c r="AV10" s="4"/>
      <c r="AW10" s="4">
        <v>5.58</v>
      </c>
      <c r="AX10" s="4">
        <v>2.14</v>
      </c>
      <c r="AY10" s="4">
        <v>1.8</v>
      </c>
      <c r="AZ10" s="4" t="s">
        <v>62</v>
      </c>
      <c r="BA10" s="4" t="s">
        <v>151</v>
      </c>
      <c r="BB10" s="4"/>
      <c r="BC10" s="4">
        <v>8.665754923413567E-2</v>
      </c>
      <c r="BD10" s="4" t="s">
        <v>110</v>
      </c>
      <c r="BE10" s="4">
        <v>3.380000114440918</v>
      </c>
      <c r="BF10" s="4"/>
      <c r="BG10" s="4"/>
      <c r="BH10" s="4"/>
      <c r="BJ10" s="4"/>
      <c r="BK10" s="4"/>
      <c r="BL10" s="4"/>
    </row>
    <row r="11" spans="1:64" x14ac:dyDescent="0.25">
      <c r="A11" s="2" t="str">
        <f t="shared" si="0"/>
        <v>F43A Production Wellhead2</v>
      </c>
      <c r="B11" s="4" t="s">
        <v>152</v>
      </c>
      <c r="C11" s="4">
        <v>2</v>
      </c>
      <c r="D11" s="4" t="s">
        <v>122</v>
      </c>
      <c r="E11" s="4" t="s">
        <v>59</v>
      </c>
      <c r="F11" s="4" t="s">
        <v>153</v>
      </c>
      <c r="G11" s="4" t="s">
        <v>64</v>
      </c>
      <c r="H11" s="4" t="s">
        <v>154</v>
      </c>
      <c r="I11" s="4">
        <v>50</v>
      </c>
      <c r="J11" s="4">
        <v>60.3</v>
      </c>
      <c r="K11" s="4">
        <v>11.07</v>
      </c>
      <c r="L11" s="4">
        <v>8.9</v>
      </c>
      <c r="M11" s="4">
        <v>2.17</v>
      </c>
      <c r="N11" s="4">
        <v>19.600000000000001</v>
      </c>
      <c r="O11" s="4" t="s">
        <v>155</v>
      </c>
      <c r="P11" s="4">
        <v>2.14</v>
      </c>
      <c r="Q11" s="4">
        <v>0.08</v>
      </c>
      <c r="R11" s="4"/>
      <c r="S11" s="4">
        <v>2</v>
      </c>
      <c r="T11" s="4">
        <v>1</v>
      </c>
      <c r="U11" s="4" t="s">
        <v>107</v>
      </c>
      <c r="V11" s="4" t="s">
        <v>65</v>
      </c>
      <c r="W11" s="4" t="s">
        <v>66</v>
      </c>
      <c r="X11" s="4">
        <v>78</v>
      </c>
      <c r="Y11" s="4">
        <v>3.38</v>
      </c>
      <c r="Z11" s="4">
        <v>4.5199999999999996</v>
      </c>
      <c r="AA11" s="4">
        <v>25</v>
      </c>
      <c r="AB11" s="4">
        <v>3.12</v>
      </c>
      <c r="AC11" s="4">
        <v>0.18</v>
      </c>
      <c r="AD11" s="4">
        <v>5</v>
      </c>
      <c r="AE11" s="4">
        <v>1</v>
      </c>
      <c r="AF11" s="4" t="s">
        <v>108</v>
      </c>
      <c r="AG11" s="4" t="s">
        <v>63</v>
      </c>
      <c r="AH11" s="4">
        <v>0</v>
      </c>
      <c r="AI11" s="4">
        <v>0</v>
      </c>
      <c r="AJ11" s="4">
        <v>0</v>
      </c>
      <c r="AK11" s="4">
        <v>0</v>
      </c>
      <c r="AL11" s="4" t="s">
        <v>60</v>
      </c>
      <c r="AM11" s="4">
        <v>0.5</v>
      </c>
      <c r="AN11" s="4">
        <v>0.2</v>
      </c>
      <c r="AO11" s="4">
        <v>39</v>
      </c>
      <c r="AP11" s="4">
        <v>0.9</v>
      </c>
      <c r="AQ11" s="4">
        <v>0</v>
      </c>
      <c r="AR11" s="4"/>
      <c r="AS11" s="4" t="s">
        <v>59</v>
      </c>
      <c r="AT11" s="4"/>
      <c r="AU11" s="4" t="s">
        <v>61</v>
      </c>
      <c r="AV11" s="4"/>
      <c r="AW11" s="4">
        <v>5.58</v>
      </c>
      <c r="AX11" s="4">
        <v>2.14</v>
      </c>
      <c r="AY11" s="4">
        <v>1.8</v>
      </c>
      <c r="AZ11" s="4" t="s">
        <v>62</v>
      </c>
      <c r="BA11" s="4" t="s">
        <v>151</v>
      </c>
      <c r="BB11" s="4"/>
      <c r="BC11" s="4">
        <v>8.666703140387351E-2</v>
      </c>
      <c r="BD11" s="4" t="s">
        <v>110</v>
      </c>
      <c r="BE11" s="4">
        <v>3.380000114440918</v>
      </c>
      <c r="BF11" s="4"/>
      <c r="BG11" s="4"/>
      <c r="BH11" s="4"/>
      <c r="BJ11" s="4"/>
      <c r="BK11" s="4"/>
      <c r="BL11" s="4"/>
    </row>
    <row r="12" spans="1:64" x14ac:dyDescent="0.25">
      <c r="A12" s="2" t="str">
        <f t="shared" si="0"/>
        <v>F44 Production Wellhead1</v>
      </c>
      <c r="B12" s="4" t="s">
        <v>156</v>
      </c>
      <c r="C12" s="4">
        <v>1</v>
      </c>
      <c r="D12" s="4" t="s">
        <v>103</v>
      </c>
      <c r="E12" s="4" t="s">
        <v>59</v>
      </c>
      <c r="F12" s="4" t="s">
        <v>157</v>
      </c>
      <c r="G12" s="4" t="s">
        <v>64</v>
      </c>
      <c r="H12" s="4" t="s">
        <v>158</v>
      </c>
      <c r="I12" s="4">
        <v>50</v>
      </c>
      <c r="J12" s="4">
        <v>60.3</v>
      </c>
      <c r="K12" s="4">
        <v>11.07</v>
      </c>
      <c r="L12" s="4">
        <v>8.5</v>
      </c>
      <c r="M12" s="4">
        <v>2.57</v>
      </c>
      <c r="N12" s="4">
        <v>23.21</v>
      </c>
      <c r="O12" s="4" t="s">
        <v>159</v>
      </c>
      <c r="P12" s="4">
        <v>2.14</v>
      </c>
      <c r="Q12" s="4">
        <v>0.1</v>
      </c>
      <c r="R12" s="4"/>
      <c r="S12" s="4">
        <v>2</v>
      </c>
      <c r="T12" s="4">
        <v>1</v>
      </c>
      <c r="U12" s="4" t="s">
        <v>107</v>
      </c>
      <c r="V12" s="4" t="s">
        <v>65</v>
      </c>
      <c r="W12" s="4" t="s">
        <v>66</v>
      </c>
      <c r="X12" s="4">
        <v>61.83</v>
      </c>
      <c r="Y12" s="4">
        <v>3.18</v>
      </c>
      <c r="Z12" s="4">
        <v>4.07</v>
      </c>
      <c r="AA12" s="4">
        <v>25</v>
      </c>
      <c r="AB12" s="4">
        <v>2.4700000000000002</v>
      </c>
      <c r="AC12" s="4">
        <v>0.16</v>
      </c>
      <c r="AD12" s="4">
        <v>5</v>
      </c>
      <c r="AE12" s="4">
        <v>1</v>
      </c>
      <c r="AF12" s="4" t="s">
        <v>108</v>
      </c>
      <c r="AG12" s="4" t="s">
        <v>63</v>
      </c>
      <c r="AH12" s="4">
        <v>0</v>
      </c>
      <c r="AI12" s="4">
        <v>0</v>
      </c>
      <c r="AJ12" s="4">
        <v>0</v>
      </c>
      <c r="AK12" s="4">
        <v>0</v>
      </c>
      <c r="AL12" s="4" t="s">
        <v>60</v>
      </c>
      <c r="AM12" s="4">
        <v>0.5</v>
      </c>
      <c r="AN12" s="4">
        <v>0.2</v>
      </c>
      <c r="AO12" s="4">
        <v>30.91</v>
      </c>
      <c r="AP12" s="4">
        <v>0.81</v>
      </c>
      <c r="AQ12" s="4">
        <v>0</v>
      </c>
      <c r="AR12" s="4"/>
      <c r="AS12" s="4" t="s">
        <v>59</v>
      </c>
      <c r="AT12" s="4"/>
      <c r="AU12" s="4" t="s">
        <v>61</v>
      </c>
      <c r="AV12" s="4"/>
      <c r="AW12" s="4">
        <v>5.58</v>
      </c>
      <c r="AX12" s="4">
        <v>2.14</v>
      </c>
      <c r="AY12" s="4">
        <v>1.8</v>
      </c>
      <c r="AZ12" s="4" t="s">
        <v>62</v>
      </c>
      <c r="BA12" s="4" t="s">
        <v>160</v>
      </c>
      <c r="BB12" s="4"/>
      <c r="BC12" s="4">
        <v>0.10285635964912281</v>
      </c>
      <c r="BD12" s="4" t="s">
        <v>110</v>
      </c>
      <c r="BE12" s="4">
        <v>3.1800000667572021</v>
      </c>
      <c r="BF12" s="58"/>
      <c r="BG12" s="58"/>
      <c r="BH12" s="58"/>
      <c r="BJ12" s="4"/>
      <c r="BK12" s="4"/>
      <c r="BL12" s="4"/>
    </row>
    <row r="13" spans="1:64" x14ac:dyDescent="0.25">
      <c r="A13" s="2" t="str">
        <f t="shared" si="0"/>
        <v>F44M Production Wellhead2</v>
      </c>
      <c r="B13" s="4" t="s">
        <v>161</v>
      </c>
      <c r="C13" s="4">
        <v>2</v>
      </c>
      <c r="D13" s="4" t="s">
        <v>103</v>
      </c>
      <c r="E13" s="4" t="s">
        <v>59</v>
      </c>
      <c r="F13" s="4" t="s">
        <v>162</v>
      </c>
      <c r="G13" s="4" t="s">
        <v>64</v>
      </c>
      <c r="H13" s="4" t="s">
        <v>163</v>
      </c>
      <c r="I13" s="4">
        <v>50</v>
      </c>
      <c r="J13" s="4">
        <v>60.3</v>
      </c>
      <c r="K13" s="4">
        <v>11.07</v>
      </c>
      <c r="L13" s="4">
        <v>8.6999999999999993</v>
      </c>
      <c r="M13" s="4">
        <v>2.37</v>
      </c>
      <c r="N13" s="4">
        <v>21.4</v>
      </c>
      <c r="O13" s="4" t="s">
        <v>164</v>
      </c>
      <c r="P13" s="4">
        <v>2.14</v>
      </c>
      <c r="Q13" s="4">
        <v>0.09</v>
      </c>
      <c r="R13" s="4"/>
      <c r="S13" s="4">
        <v>2</v>
      </c>
      <c r="T13" s="4">
        <v>1</v>
      </c>
      <c r="U13" s="4" t="s">
        <v>107</v>
      </c>
      <c r="V13" s="4" t="s">
        <v>65</v>
      </c>
      <c r="W13" s="4" t="s">
        <v>66</v>
      </c>
      <c r="X13" s="4">
        <v>69.290000000000006</v>
      </c>
      <c r="Y13" s="4">
        <v>3.28</v>
      </c>
      <c r="Z13" s="4">
        <v>4.32</v>
      </c>
      <c r="AA13" s="4">
        <v>25</v>
      </c>
      <c r="AB13" s="4">
        <v>2.77</v>
      </c>
      <c r="AC13" s="4">
        <v>0.17</v>
      </c>
      <c r="AD13" s="4">
        <v>5</v>
      </c>
      <c r="AE13" s="4">
        <v>1</v>
      </c>
      <c r="AF13" s="4" t="s">
        <v>108</v>
      </c>
      <c r="AG13" s="4" t="s">
        <v>63</v>
      </c>
      <c r="AH13" s="4">
        <v>0</v>
      </c>
      <c r="AI13" s="4">
        <v>0</v>
      </c>
      <c r="AJ13" s="4">
        <v>0</v>
      </c>
      <c r="AK13" s="4">
        <v>0</v>
      </c>
      <c r="AL13" s="4" t="s">
        <v>60</v>
      </c>
      <c r="AM13" s="4">
        <v>0.5</v>
      </c>
      <c r="AN13" s="4">
        <v>0.2</v>
      </c>
      <c r="AO13" s="4">
        <v>34.65</v>
      </c>
      <c r="AP13" s="4">
        <v>0.86</v>
      </c>
      <c r="AQ13" s="4">
        <v>0</v>
      </c>
      <c r="AR13" s="4"/>
      <c r="AS13" s="4" t="s">
        <v>59</v>
      </c>
      <c r="AT13" s="4"/>
      <c r="AU13" s="4" t="s">
        <v>61</v>
      </c>
      <c r="AV13" s="4"/>
      <c r="AW13" s="4">
        <v>5.58</v>
      </c>
      <c r="AX13" s="4">
        <v>2.14</v>
      </c>
      <c r="AY13" s="4">
        <v>1.8</v>
      </c>
      <c r="AZ13" s="4" t="s">
        <v>62</v>
      </c>
      <c r="BA13" s="4" t="s">
        <v>165</v>
      </c>
      <c r="BB13" s="4"/>
      <c r="BC13" s="4">
        <v>9.4675495239137569E-2</v>
      </c>
      <c r="BD13" s="4" t="s">
        <v>110</v>
      </c>
      <c r="BE13" s="4">
        <v>3.2799999713897705</v>
      </c>
      <c r="BF13" s="4"/>
      <c r="BG13" s="4"/>
      <c r="BH13" s="4"/>
      <c r="BJ13" s="4"/>
      <c r="BK13" s="4"/>
      <c r="BL13" s="4"/>
    </row>
    <row r="14" spans="1:64" x14ac:dyDescent="0.25">
      <c r="A14" s="2" t="str">
        <f t="shared" si="0"/>
        <v>F44M Production Wellhead8</v>
      </c>
      <c r="B14" s="4" t="s">
        <v>161</v>
      </c>
      <c r="C14" s="4">
        <v>8</v>
      </c>
      <c r="D14" s="4" t="s">
        <v>122</v>
      </c>
      <c r="E14" s="4" t="s">
        <v>59</v>
      </c>
      <c r="F14" s="4" t="s">
        <v>166</v>
      </c>
      <c r="G14" s="4" t="s">
        <v>64</v>
      </c>
      <c r="H14" s="4" t="s">
        <v>163</v>
      </c>
      <c r="I14" s="4">
        <v>50</v>
      </c>
      <c r="J14" s="4">
        <v>60.3</v>
      </c>
      <c r="K14" s="4">
        <v>11.07</v>
      </c>
      <c r="L14" s="4">
        <v>8.8000000000000007</v>
      </c>
      <c r="M14" s="4">
        <v>2.27</v>
      </c>
      <c r="N14" s="4">
        <v>20.5</v>
      </c>
      <c r="O14" s="4" t="s">
        <v>167</v>
      </c>
      <c r="P14" s="4">
        <v>2.14</v>
      </c>
      <c r="Q14" s="4">
        <v>0.09</v>
      </c>
      <c r="R14" s="4"/>
      <c r="S14" s="4">
        <v>2</v>
      </c>
      <c r="T14" s="4">
        <v>1</v>
      </c>
      <c r="U14" s="4" t="s">
        <v>107</v>
      </c>
      <c r="V14" s="4" t="s">
        <v>65</v>
      </c>
      <c r="W14" s="4" t="s">
        <v>66</v>
      </c>
      <c r="X14" s="4">
        <v>73.44</v>
      </c>
      <c r="Y14" s="4">
        <v>3.33</v>
      </c>
      <c r="Z14" s="4">
        <v>4.42</v>
      </c>
      <c r="AA14" s="4">
        <v>25</v>
      </c>
      <c r="AB14" s="4">
        <v>2.94</v>
      </c>
      <c r="AC14" s="4">
        <v>0.18</v>
      </c>
      <c r="AD14" s="4">
        <v>5</v>
      </c>
      <c r="AE14" s="4">
        <v>1</v>
      </c>
      <c r="AF14" s="4" t="s">
        <v>108</v>
      </c>
      <c r="AG14" s="4" t="s">
        <v>63</v>
      </c>
      <c r="AH14" s="4">
        <v>0</v>
      </c>
      <c r="AI14" s="4">
        <v>0</v>
      </c>
      <c r="AJ14" s="4">
        <v>0</v>
      </c>
      <c r="AK14" s="4">
        <v>0</v>
      </c>
      <c r="AL14" s="4" t="s">
        <v>60</v>
      </c>
      <c r="AM14" s="4">
        <v>0.5</v>
      </c>
      <c r="AN14" s="4">
        <v>0.2</v>
      </c>
      <c r="AO14" s="4">
        <v>36.72</v>
      </c>
      <c r="AP14" s="4">
        <v>0.88</v>
      </c>
      <c r="AQ14" s="4">
        <v>0</v>
      </c>
      <c r="AR14" s="4"/>
      <c r="AS14" s="4" t="s">
        <v>59</v>
      </c>
      <c r="AT14" s="4"/>
      <c r="AU14" s="4" t="s">
        <v>61</v>
      </c>
      <c r="AV14" s="4"/>
      <c r="AW14" s="4">
        <v>5.58</v>
      </c>
      <c r="AX14" s="4">
        <v>2.14</v>
      </c>
      <c r="AY14" s="4">
        <v>1.8</v>
      </c>
      <c r="AZ14" s="4" t="s">
        <v>62</v>
      </c>
      <c r="BA14" s="4" t="s">
        <v>168</v>
      </c>
      <c r="BB14" s="4"/>
      <c r="BC14" s="4">
        <v>9.0680748604574798E-2</v>
      </c>
      <c r="BD14" s="4" t="s">
        <v>110</v>
      </c>
      <c r="BE14" s="4">
        <v>3.3299999237060547</v>
      </c>
      <c r="BF14" s="4"/>
      <c r="BG14" s="4"/>
      <c r="BH14" s="4"/>
      <c r="BJ14" s="4"/>
      <c r="BK14" s="4"/>
      <c r="BL14" s="4"/>
    </row>
    <row r="15" spans="1:64" x14ac:dyDescent="0.25">
      <c r="A15" s="2" t="str">
        <f t="shared" si="0"/>
        <v>F55M Production Wellhead1</v>
      </c>
      <c r="B15" s="4" t="s">
        <v>169</v>
      </c>
      <c r="C15" s="4">
        <v>1</v>
      </c>
      <c r="D15" s="4" t="s">
        <v>103</v>
      </c>
      <c r="E15" s="4" t="s">
        <v>59</v>
      </c>
      <c r="F15" s="4" t="s">
        <v>170</v>
      </c>
      <c r="G15" s="4" t="s">
        <v>64</v>
      </c>
      <c r="H15" s="4" t="s">
        <v>171</v>
      </c>
      <c r="I15" s="4">
        <v>50</v>
      </c>
      <c r="J15" s="4">
        <v>60.3</v>
      </c>
      <c r="K15" s="4">
        <v>10.9</v>
      </c>
      <c r="L15" s="4">
        <v>8.8000000000000007</v>
      </c>
      <c r="M15" s="4">
        <v>2.1</v>
      </c>
      <c r="N15" s="4">
        <v>19.260000000000002</v>
      </c>
      <c r="O15" s="4" t="s">
        <v>172</v>
      </c>
      <c r="P15" s="4">
        <v>2.14</v>
      </c>
      <c r="Q15" s="4">
        <v>0.08</v>
      </c>
      <c r="R15" s="4"/>
      <c r="S15" s="4">
        <v>2</v>
      </c>
      <c r="T15" s="4">
        <v>1</v>
      </c>
      <c r="U15" s="4" t="s">
        <v>107</v>
      </c>
      <c r="V15" s="4" t="s">
        <v>65</v>
      </c>
      <c r="W15" s="4" t="s">
        <v>66</v>
      </c>
      <c r="X15" s="4">
        <v>80.28</v>
      </c>
      <c r="Y15" s="4">
        <v>3.33</v>
      </c>
      <c r="Z15" s="4">
        <v>4.7</v>
      </c>
      <c r="AA15" s="4">
        <v>25</v>
      </c>
      <c r="AB15" s="4">
        <v>3.21</v>
      </c>
      <c r="AC15" s="4">
        <v>0.19</v>
      </c>
      <c r="AD15" s="4">
        <v>5</v>
      </c>
      <c r="AE15" s="4">
        <v>1</v>
      </c>
      <c r="AF15" s="4" t="s">
        <v>108</v>
      </c>
      <c r="AG15" s="4" t="s">
        <v>63</v>
      </c>
      <c r="AH15" s="4">
        <v>0</v>
      </c>
      <c r="AI15" s="4">
        <v>0</v>
      </c>
      <c r="AJ15" s="4">
        <v>0</v>
      </c>
      <c r="AK15" s="4">
        <v>0</v>
      </c>
      <c r="AL15" s="4" t="s">
        <v>60</v>
      </c>
      <c r="AM15" s="4">
        <v>0.5</v>
      </c>
      <c r="AN15" s="4">
        <v>0.2</v>
      </c>
      <c r="AO15" s="4">
        <v>40.14</v>
      </c>
      <c r="AP15" s="4">
        <v>0.94</v>
      </c>
      <c r="AQ15" s="4">
        <v>0</v>
      </c>
      <c r="AR15" s="4"/>
      <c r="AS15" s="4" t="s">
        <v>59</v>
      </c>
      <c r="AT15" s="4"/>
      <c r="AU15" s="4" t="s">
        <v>61</v>
      </c>
      <c r="AV15" s="4"/>
      <c r="AW15" s="4">
        <v>5.58</v>
      </c>
      <c r="AX15" s="4">
        <v>2.14</v>
      </c>
      <c r="AY15" s="4">
        <v>1.8</v>
      </c>
      <c r="AZ15" s="4" t="s">
        <v>62</v>
      </c>
      <c r="BA15" s="4" t="s">
        <v>141</v>
      </c>
      <c r="BB15" s="4"/>
      <c r="BC15" s="4">
        <v>8.2954545454545447E-2</v>
      </c>
      <c r="BD15" s="4" t="s">
        <v>110</v>
      </c>
      <c r="BE15" s="4">
        <v>3.3299999237060547</v>
      </c>
      <c r="BF15" s="4"/>
      <c r="BG15" s="4"/>
      <c r="BH15" s="4"/>
      <c r="BJ15" s="4"/>
      <c r="BK15" s="4"/>
      <c r="BL15" s="4"/>
    </row>
    <row r="16" spans="1:64" x14ac:dyDescent="0.25">
      <c r="A16" s="2" t="str">
        <f t="shared" si="0"/>
        <v>F61 Production Wellhead2</v>
      </c>
      <c r="B16" s="4" t="s">
        <v>173</v>
      </c>
      <c r="C16" s="4">
        <v>2</v>
      </c>
      <c r="D16" s="4" t="s">
        <v>103</v>
      </c>
      <c r="E16" s="4" t="s">
        <v>59</v>
      </c>
      <c r="F16" s="4" t="s">
        <v>123</v>
      </c>
      <c r="G16" s="4" t="s">
        <v>64</v>
      </c>
      <c r="H16" s="4" t="s">
        <v>154</v>
      </c>
      <c r="I16" s="4">
        <v>50</v>
      </c>
      <c r="J16" s="4">
        <v>60.3</v>
      </c>
      <c r="K16" s="4">
        <v>11.07</v>
      </c>
      <c r="L16" s="4">
        <v>8.6</v>
      </c>
      <c r="M16" s="4">
        <v>2.4700000000000002</v>
      </c>
      <c r="N16" s="4">
        <v>22.31</v>
      </c>
      <c r="O16" s="4" t="s">
        <v>174</v>
      </c>
      <c r="P16" s="4">
        <v>2.14</v>
      </c>
      <c r="Q16" s="4">
        <v>0.09</v>
      </c>
      <c r="R16" s="4"/>
      <c r="S16" s="4">
        <v>2</v>
      </c>
      <c r="T16" s="4">
        <v>1</v>
      </c>
      <c r="U16" s="4" t="s">
        <v>107</v>
      </c>
      <c r="V16" s="4" t="s">
        <v>65</v>
      </c>
      <c r="W16" s="4" t="s">
        <v>66</v>
      </c>
      <c r="X16" s="4">
        <v>65.48</v>
      </c>
      <c r="Y16" s="4">
        <v>3.23</v>
      </c>
      <c r="Z16" s="4">
        <v>4.22</v>
      </c>
      <c r="AA16" s="4">
        <v>25</v>
      </c>
      <c r="AB16" s="4">
        <v>2.62</v>
      </c>
      <c r="AC16" s="4">
        <v>0.17</v>
      </c>
      <c r="AD16" s="4">
        <v>5</v>
      </c>
      <c r="AE16" s="4">
        <v>1</v>
      </c>
      <c r="AF16" s="4" t="s">
        <v>108</v>
      </c>
      <c r="AG16" s="4" t="s">
        <v>63</v>
      </c>
      <c r="AH16" s="4">
        <v>0</v>
      </c>
      <c r="AI16" s="4">
        <v>0</v>
      </c>
      <c r="AJ16" s="4">
        <v>0</v>
      </c>
      <c r="AK16" s="4">
        <v>0</v>
      </c>
      <c r="AL16" s="4" t="s">
        <v>60</v>
      </c>
      <c r="AM16" s="4">
        <v>0.5</v>
      </c>
      <c r="AN16" s="4">
        <v>0.2</v>
      </c>
      <c r="AO16" s="4">
        <v>32.74</v>
      </c>
      <c r="AP16" s="4">
        <v>0.84</v>
      </c>
      <c r="AQ16" s="4">
        <v>0</v>
      </c>
      <c r="AR16" s="4"/>
      <c r="AS16" s="4" t="s">
        <v>59</v>
      </c>
      <c r="AT16" s="4"/>
      <c r="AU16" s="4" t="s">
        <v>61</v>
      </c>
      <c r="AV16" s="4"/>
      <c r="AW16" s="4">
        <v>5.58</v>
      </c>
      <c r="AX16" s="4">
        <v>2.14</v>
      </c>
      <c r="AY16" s="4">
        <v>1.8</v>
      </c>
      <c r="AZ16" s="4" t="s">
        <v>62</v>
      </c>
      <c r="BA16" s="4" t="s">
        <v>175</v>
      </c>
      <c r="BB16" s="4"/>
      <c r="BC16" s="4">
        <v>9.8648648648648654E-2</v>
      </c>
      <c r="BD16" s="4" t="s">
        <v>110</v>
      </c>
      <c r="BE16" s="4">
        <v>3.2300000190734863</v>
      </c>
      <c r="BF16" s="4"/>
      <c r="BG16" s="4"/>
      <c r="BH16" s="4"/>
      <c r="BJ16" s="4"/>
      <c r="BK16" s="4"/>
      <c r="BL16" s="4"/>
    </row>
    <row r="17" spans="1:64" x14ac:dyDescent="0.25">
      <c r="A17" s="2" t="str">
        <f t="shared" si="0"/>
        <v>F61 Production Wellhead1</v>
      </c>
      <c r="B17" s="4" t="s">
        <v>173</v>
      </c>
      <c r="C17" s="4">
        <v>1</v>
      </c>
      <c r="D17" s="4" t="s">
        <v>122</v>
      </c>
      <c r="E17" s="4" t="s">
        <v>59</v>
      </c>
      <c r="F17" s="4" t="s">
        <v>153</v>
      </c>
      <c r="G17" s="4" t="s">
        <v>64</v>
      </c>
      <c r="H17" s="4" t="s">
        <v>154</v>
      </c>
      <c r="I17" s="4">
        <v>50</v>
      </c>
      <c r="J17" s="4">
        <v>60.3</v>
      </c>
      <c r="K17" s="4">
        <v>11.07</v>
      </c>
      <c r="L17" s="4">
        <v>8.8000000000000007</v>
      </c>
      <c r="M17" s="4">
        <v>2.27</v>
      </c>
      <c r="N17" s="4">
        <v>20.5</v>
      </c>
      <c r="O17" s="4" t="s">
        <v>176</v>
      </c>
      <c r="P17" s="4">
        <v>2.14</v>
      </c>
      <c r="Q17" s="4">
        <v>0.09</v>
      </c>
      <c r="R17" s="4"/>
      <c r="S17" s="4">
        <v>2</v>
      </c>
      <c r="T17" s="4">
        <v>1</v>
      </c>
      <c r="U17" s="4" t="s">
        <v>107</v>
      </c>
      <c r="V17" s="4" t="s">
        <v>65</v>
      </c>
      <c r="W17" s="4" t="s">
        <v>66</v>
      </c>
      <c r="X17" s="4">
        <v>73.459999999999994</v>
      </c>
      <c r="Y17" s="4">
        <v>3.33</v>
      </c>
      <c r="Z17" s="4">
        <v>4.42</v>
      </c>
      <c r="AA17" s="4">
        <v>25</v>
      </c>
      <c r="AB17" s="4">
        <v>2.94</v>
      </c>
      <c r="AC17" s="4">
        <v>0.18</v>
      </c>
      <c r="AD17" s="4">
        <v>5</v>
      </c>
      <c r="AE17" s="4">
        <v>1</v>
      </c>
      <c r="AF17" s="4" t="s">
        <v>108</v>
      </c>
      <c r="AG17" s="4" t="s">
        <v>63</v>
      </c>
      <c r="AH17" s="4">
        <v>0</v>
      </c>
      <c r="AI17" s="4">
        <v>0</v>
      </c>
      <c r="AJ17" s="4">
        <v>0</v>
      </c>
      <c r="AK17" s="4">
        <v>0</v>
      </c>
      <c r="AL17" s="4" t="s">
        <v>60</v>
      </c>
      <c r="AM17" s="4">
        <v>0.5</v>
      </c>
      <c r="AN17" s="4">
        <v>0.2</v>
      </c>
      <c r="AO17" s="4">
        <v>36.729999999999997</v>
      </c>
      <c r="AP17" s="4">
        <v>0.88</v>
      </c>
      <c r="AQ17" s="4">
        <v>0</v>
      </c>
      <c r="AR17" s="4"/>
      <c r="AS17" s="4" t="s">
        <v>59</v>
      </c>
      <c r="AT17" s="4"/>
      <c r="AU17" s="4" t="s">
        <v>61</v>
      </c>
      <c r="AV17" s="4"/>
      <c r="AW17" s="4">
        <v>5.58</v>
      </c>
      <c r="AX17" s="4">
        <v>2.14</v>
      </c>
      <c r="AY17" s="4">
        <v>1.8</v>
      </c>
      <c r="AZ17" s="4" t="s">
        <v>62</v>
      </c>
      <c r="BA17" s="4" t="s">
        <v>168</v>
      </c>
      <c r="BB17" s="4"/>
      <c r="BC17" s="4">
        <v>9.0660903818798558E-2</v>
      </c>
      <c r="BD17" s="4" t="s">
        <v>110</v>
      </c>
      <c r="BE17" s="4">
        <v>3.3299999237060547</v>
      </c>
      <c r="BF17" s="4"/>
      <c r="BG17" s="4"/>
      <c r="BH17" s="4"/>
      <c r="BJ17" s="4"/>
      <c r="BK17" s="4"/>
      <c r="BL17" s="4"/>
    </row>
    <row r="18" spans="1:64" x14ac:dyDescent="0.25">
      <c r="A18" s="2" t="str">
        <f t="shared" si="0"/>
        <v>F71 Production Wellhead4</v>
      </c>
      <c r="B18" s="4" t="s">
        <v>177</v>
      </c>
      <c r="C18" s="4">
        <v>4</v>
      </c>
      <c r="D18" s="4" t="s">
        <v>178</v>
      </c>
      <c r="E18" s="4" t="s">
        <v>59</v>
      </c>
      <c r="F18" s="4" t="s">
        <v>179</v>
      </c>
      <c r="G18" s="4" t="s">
        <v>64</v>
      </c>
      <c r="H18" s="4" t="s">
        <v>180</v>
      </c>
      <c r="I18" s="4">
        <v>50</v>
      </c>
      <c r="J18" s="4">
        <v>60.3</v>
      </c>
      <c r="K18" s="4">
        <v>11.07</v>
      </c>
      <c r="L18" s="4">
        <v>8.1999999999999993</v>
      </c>
      <c r="M18" s="4">
        <v>2.87</v>
      </c>
      <c r="N18" s="4">
        <v>25.92</v>
      </c>
      <c r="O18" s="4" t="s">
        <v>181</v>
      </c>
      <c r="P18" s="4">
        <v>2.14</v>
      </c>
      <c r="Q18" s="4">
        <v>0.11</v>
      </c>
      <c r="R18" s="4"/>
      <c r="S18" s="4">
        <v>2</v>
      </c>
      <c r="T18" s="4">
        <v>1</v>
      </c>
      <c r="U18" s="4" t="s">
        <v>107</v>
      </c>
      <c r="V18" s="4" t="s">
        <v>65</v>
      </c>
      <c r="W18" s="4" t="s">
        <v>66</v>
      </c>
      <c r="X18" s="4">
        <v>52.75</v>
      </c>
      <c r="Y18" s="4">
        <v>3.03</v>
      </c>
      <c r="Z18" s="4">
        <v>3.77</v>
      </c>
      <c r="AA18" s="4">
        <v>25</v>
      </c>
      <c r="AB18" s="4">
        <v>2.11</v>
      </c>
      <c r="AC18" s="4">
        <v>0.15</v>
      </c>
      <c r="AD18" s="4">
        <v>5</v>
      </c>
      <c r="AE18" s="4">
        <v>1</v>
      </c>
      <c r="AF18" s="4" t="s">
        <v>108</v>
      </c>
      <c r="AG18" s="4" t="s">
        <v>63</v>
      </c>
      <c r="AH18" s="4">
        <v>0</v>
      </c>
      <c r="AI18" s="4">
        <v>0</v>
      </c>
      <c r="AJ18" s="4">
        <v>0</v>
      </c>
      <c r="AK18" s="4">
        <v>0</v>
      </c>
      <c r="AL18" s="4" t="s">
        <v>60</v>
      </c>
      <c r="AM18" s="4">
        <v>0.5</v>
      </c>
      <c r="AN18" s="4">
        <v>0.2</v>
      </c>
      <c r="AO18" s="4">
        <v>26.38</v>
      </c>
      <c r="AP18" s="4">
        <v>0.75</v>
      </c>
      <c r="AQ18" s="4">
        <v>0</v>
      </c>
      <c r="AR18" s="4"/>
      <c r="AS18" s="4" t="s">
        <v>59</v>
      </c>
      <c r="AT18" s="4"/>
      <c r="AU18" s="4" t="s">
        <v>61</v>
      </c>
      <c r="AV18" s="4"/>
      <c r="AW18" s="4">
        <v>5.58</v>
      </c>
      <c r="AX18" s="4">
        <v>2.14</v>
      </c>
      <c r="AY18" s="4">
        <v>1.8</v>
      </c>
      <c r="AZ18" s="4" t="s">
        <v>62</v>
      </c>
      <c r="BA18" s="4" t="s">
        <v>182</v>
      </c>
      <c r="BB18" s="4"/>
      <c r="BC18" s="4">
        <v>0.1148755345980919</v>
      </c>
      <c r="BD18" s="4" t="s">
        <v>110</v>
      </c>
      <c r="BE18" s="4">
        <v>3.0299999713897705</v>
      </c>
      <c r="BF18" s="4"/>
      <c r="BG18" s="4"/>
      <c r="BH18" s="4"/>
      <c r="BJ18" s="4"/>
      <c r="BK18" s="4"/>
      <c r="BL18" s="4"/>
    </row>
    <row r="19" spans="1:64" x14ac:dyDescent="0.25">
      <c r="A19" s="2" t="str">
        <f t="shared" si="0"/>
        <v>F71 Production Wellhead1</v>
      </c>
      <c r="B19" s="4" t="s">
        <v>177</v>
      </c>
      <c r="C19" s="4">
        <v>1</v>
      </c>
      <c r="D19" s="4" t="s">
        <v>103</v>
      </c>
      <c r="E19" s="4" t="s">
        <v>59</v>
      </c>
      <c r="F19" s="4" t="s">
        <v>183</v>
      </c>
      <c r="G19" s="4" t="s">
        <v>64</v>
      </c>
      <c r="H19" s="4" t="s">
        <v>180</v>
      </c>
      <c r="I19" s="4">
        <v>50</v>
      </c>
      <c r="J19" s="4">
        <v>60.3</v>
      </c>
      <c r="K19" s="4">
        <v>11.07</v>
      </c>
      <c r="L19" s="4">
        <v>8.3000000000000007</v>
      </c>
      <c r="M19" s="4">
        <v>2.77</v>
      </c>
      <c r="N19" s="4">
        <v>25.02</v>
      </c>
      <c r="O19" s="4" t="s">
        <v>184</v>
      </c>
      <c r="P19" s="4">
        <v>2.14</v>
      </c>
      <c r="Q19" s="4">
        <v>0.11</v>
      </c>
      <c r="R19" s="4"/>
      <c r="S19" s="4">
        <v>2</v>
      </c>
      <c r="T19" s="4">
        <v>1</v>
      </c>
      <c r="U19" s="4" t="s">
        <v>107</v>
      </c>
      <c r="V19" s="4" t="s">
        <v>65</v>
      </c>
      <c r="W19" s="4" t="s">
        <v>66</v>
      </c>
      <c r="X19" s="4">
        <v>55.56</v>
      </c>
      <c r="Y19" s="4">
        <v>3.08</v>
      </c>
      <c r="Z19" s="4">
        <v>3.87</v>
      </c>
      <c r="AA19" s="4">
        <v>25</v>
      </c>
      <c r="AB19" s="4">
        <v>2.2200000000000002</v>
      </c>
      <c r="AC19" s="4">
        <v>0.15</v>
      </c>
      <c r="AD19" s="4">
        <v>5</v>
      </c>
      <c r="AE19" s="4">
        <v>1</v>
      </c>
      <c r="AF19" s="4" t="s">
        <v>108</v>
      </c>
      <c r="AG19" s="4" t="s">
        <v>63</v>
      </c>
      <c r="AH19" s="4">
        <v>0</v>
      </c>
      <c r="AI19" s="4">
        <v>0</v>
      </c>
      <c r="AJ19" s="4">
        <v>0</v>
      </c>
      <c r="AK19" s="4">
        <v>0</v>
      </c>
      <c r="AL19" s="4" t="s">
        <v>60</v>
      </c>
      <c r="AM19" s="4">
        <v>0.5</v>
      </c>
      <c r="AN19" s="4">
        <v>0.2</v>
      </c>
      <c r="AO19" s="4">
        <v>27.78</v>
      </c>
      <c r="AP19" s="4">
        <v>0.77</v>
      </c>
      <c r="AQ19" s="4">
        <v>0</v>
      </c>
      <c r="AR19" s="4"/>
      <c r="AS19" s="4" t="s">
        <v>59</v>
      </c>
      <c r="AT19" s="4"/>
      <c r="AU19" s="4" t="s">
        <v>61</v>
      </c>
      <c r="AV19" s="4"/>
      <c r="AW19" s="4">
        <v>5.58</v>
      </c>
      <c r="AX19" s="4">
        <v>2.14</v>
      </c>
      <c r="AY19" s="4">
        <v>1.8</v>
      </c>
      <c r="AZ19" s="4" t="s">
        <v>62</v>
      </c>
      <c r="BA19" s="4" t="s">
        <v>185</v>
      </c>
      <c r="BB19" s="4"/>
      <c r="BC19" s="4">
        <v>0.11087290273056255</v>
      </c>
      <c r="BD19" s="4" t="s">
        <v>110</v>
      </c>
      <c r="BE19" s="4">
        <v>3.0799999237060547</v>
      </c>
      <c r="BF19" s="4"/>
      <c r="BG19" s="4"/>
      <c r="BH19" s="4"/>
      <c r="BJ19" s="4"/>
      <c r="BK19" s="4"/>
      <c r="BL19" s="4"/>
    </row>
    <row r="20" spans="1:64" x14ac:dyDescent="0.25">
      <c r="A20" s="2" t="str">
        <f t="shared" si="0"/>
        <v>G77M Production Wellhead2</v>
      </c>
      <c r="B20" s="4" t="s">
        <v>186</v>
      </c>
      <c r="C20" s="4">
        <v>2</v>
      </c>
      <c r="D20" s="4" t="s">
        <v>103</v>
      </c>
      <c r="E20" s="4" t="s">
        <v>59</v>
      </c>
      <c r="F20" s="4" t="s">
        <v>170</v>
      </c>
      <c r="G20" s="4" t="s">
        <v>64</v>
      </c>
      <c r="H20" s="4" t="s">
        <v>187</v>
      </c>
      <c r="I20" s="4">
        <v>50</v>
      </c>
      <c r="J20" s="4">
        <v>60.3</v>
      </c>
      <c r="K20" s="4">
        <v>10.6</v>
      </c>
      <c r="L20" s="4">
        <v>7.9</v>
      </c>
      <c r="M20" s="4">
        <v>2.7</v>
      </c>
      <c r="N20" s="4">
        <v>25.47</v>
      </c>
      <c r="O20" s="4" t="s">
        <v>188</v>
      </c>
      <c r="P20" s="4">
        <v>2.14</v>
      </c>
      <c r="Q20" s="4">
        <v>0.1</v>
      </c>
      <c r="R20" s="4"/>
      <c r="S20" s="4">
        <v>2</v>
      </c>
      <c r="T20" s="4">
        <v>1</v>
      </c>
      <c r="U20" s="4" t="s">
        <v>107</v>
      </c>
      <c r="V20" s="4" t="s">
        <v>65</v>
      </c>
      <c r="W20" s="4" t="s">
        <v>66</v>
      </c>
      <c r="X20" s="4">
        <v>54.05</v>
      </c>
      <c r="Y20" s="4">
        <v>2.88</v>
      </c>
      <c r="Z20" s="4">
        <v>3.82</v>
      </c>
      <c r="AA20" s="4">
        <v>25</v>
      </c>
      <c r="AB20" s="4">
        <v>2.16</v>
      </c>
      <c r="AC20" s="4">
        <v>0.15</v>
      </c>
      <c r="AD20" s="4">
        <v>5</v>
      </c>
      <c r="AE20" s="4">
        <v>1</v>
      </c>
      <c r="AF20" s="4" t="s">
        <v>108</v>
      </c>
      <c r="AG20" s="4" t="s">
        <v>63</v>
      </c>
      <c r="AH20" s="4">
        <v>0</v>
      </c>
      <c r="AI20" s="4">
        <v>0</v>
      </c>
      <c r="AJ20" s="4">
        <v>0</v>
      </c>
      <c r="AK20" s="4">
        <v>0</v>
      </c>
      <c r="AL20" s="4" t="s">
        <v>60</v>
      </c>
      <c r="AM20" s="4">
        <v>0.5</v>
      </c>
      <c r="AN20" s="4">
        <v>0.2</v>
      </c>
      <c r="AO20" s="4">
        <v>27.02</v>
      </c>
      <c r="AP20" s="4">
        <v>0.76</v>
      </c>
      <c r="AQ20" s="4">
        <v>0</v>
      </c>
      <c r="AR20" s="4"/>
      <c r="AS20" s="4" t="s">
        <v>59</v>
      </c>
      <c r="AT20" s="4"/>
      <c r="AU20" s="4" t="s">
        <v>61</v>
      </c>
      <c r="AV20" s="4"/>
      <c r="AW20" s="4">
        <v>5.58</v>
      </c>
      <c r="AX20" s="4">
        <v>2.14</v>
      </c>
      <c r="AY20" s="4">
        <v>1.8</v>
      </c>
      <c r="AZ20" s="4" t="s">
        <v>62</v>
      </c>
      <c r="BA20" s="4" t="s">
        <v>189</v>
      </c>
      <c r="BB20" s="4"/>
      <c r="BC20" s="4">
        <v>0.10657510543960204</v>
      </c>
      <c r="BD20" s="4" t="s">
        <v>110</v>
      </c>
      <c r="BE20" s="4">
        <v>2.880000114440918</v>
      </c>
      <c r="BF20" s="4"/>
      <c r="BG20" s="4"/>
      <c r="BH20" s="4"/>
      <c r="BJ20" s="4"/>
      <c r="BK20" s="4"/>
      <c r="BL20" s="4"/>
    </row>
    <row r="21" spans="1:64" x14ac:dyDescent="0.25">
      <c r="A21" s="2" t="str">
        <f t="shared" si="0"/>
        <v>K14 Production Wellhead1</v>
      </c>
      <c r="B21" s="4" t="s">
        <v>190</v>
      </c>
      <c r="C21" s="4">
        <v>1</v>
      </c>
      <c r="D21" s="4" t="s">
        <v>147</v>
      </c>
      <c r="E21" s="4" t="s">
        <v>59</v>
      </c>
      <c r="F21" s="4" t="s">
        <v>191</v>
      </c>
      <c r="G21" s="4" t="s">
        <v>64</v>
      </c>
      <c r="H21" s="4" t="s">
        <v>192</v>
      </c>
      <c r="I21" s="4">
        <v>50</v>
      </c>
      <c r="J21" s="4">
        <v>60.3</v>
      </c>
      <c r="K21" s="4">
        <v>11.07</v>
      </c>
      <c r="L21" s="4">
        <v>8.6999999999999993</v>
      </c>
      <c r="M21" s="4">
        <v>2.37</v>
      </c>
      <c r="N21" s="4">
        <v>21.4</v>
      </c>
      <c r="O21" s="4" t="s">
        <v>193</v>
      </c>
      <c r="P21" s="4">
        <v>2.14</v>
      </c>
      <c r="Q21" s="4">
        <v>0.09</v>
      </c>
      <c r="R21" s="4"/>
      <c r="S21" s="4">
        <v>2</v>
      </c>
      <c r="T21" s="4">
        <v>1</v>
      </c>
      <c r="U21" s="4" t="s">
        <v>107</v>
      </c>
      <c r="V21" s="4" t="s">
        <v>65</v>
      </c>
      <c r="W21" s="4" t="s">
        <v>66</v>
      </c>
      <c r="X21" s="4">
        <v>69.34</v>
      </c>
      <c r="Y21" s="4">
        <v>3.28</v>
      </c>
      <c r="Z21" s="4">
        <v>4.34</v>
      </c>
      <c r="AA21" s="4">
        <v>25</v>
      </c>
      <c r="AB21" s="4">
        <v>2.77</v>
      </c>
      <c r="AC21" s="4">
        <v>0.17</v>
      </c>
      <c r="AD21" s="4">
        <v>5</v>
      </c>
      <c r="AE21" s="4">
        <v>1</v>
      </c>
      <c r="AF21" s="4" t="s">
        <v>108</v>
      </c>
      <c r="AG21" s="4" t="s">
        <v>63</v>
      </c>
      <c r="AH21" s="4">
        <v>0</v>
      </c>
      <c r="AI21" s="4">
        <v>0</v>
      </c>
      <c r="AJ21" s="4">
        <v>0</v>
      </c>
      <c r="AK21" s="4">
        <v>0</v>
      </c>
      <c r="AL21" s="4" t="s">
        <v>60</v>
      </c>
      <c r="AM21" s="4">
        <v>0.5</v>
      </c>
      <c r="AN21" s="4">
        <v>0.2</v>
      </c>
      <c r="AO21" s="4">
        <v>34.67</v>
      </c>
      <c r="AP21" s="4">
        <v>0.87</v>
      </c>
      <c r="AQ21" s="4">
        <v>0</v>
      </c>
      <c r="AR21" s="4"/>
      <c r="AS21" s="4" t="s">
        <v>59</v>
      </c>
      <c r="AT21" s="4"/>
      <c r="AU21" s="4" t="s">
        <v>61</v>
      </c>
      <c r="AV21" s="4"/>
      <c r="AW21" s="4">
        <v>5.58</v>
      </c>
      <c r="AX21" s="4">
        <v>2.14</v>
      </c>
      <c r="AY21" s="4">
        <v>1.8</v>
      </c>
      <c r="AZ21" s="4" t="s">
        <v>62</v>
      </c>
      <c r="BA21" s="4" t="s">
        <v>194</v>
      </c>
      <c r="BB21" s="4"/>
      <c r="BC21" s="4">
        <v>9.4603018372703421E-2</v>
      </c>
      <c r="BD21" s="4" t="s">
        <v>110</v>
      </c>
      <c r="BE21" s="4">
        <v>3.2799999713897705</v>
      </c>
      <c r="BF21" s="4"/>
      <c r="BG21" s="4"/>
      <c r="BH21" s="4"/>
      <c r="BJ21" s="4"/>
      <c r="BK21" s="4"/>
      <c r="BL21" s="4"/>
    </row>
    <row r="22" spans="1:64" x14ac:dyDescent="0.25">
      <c r="A22" s="2" t="str">
        <f t="shared" si="0"/>
        <v>K62 Production Wellhead1</v>
      </c>
      <c r="B22" s="4" t="s">
        <v>195</v>
      </c>
      <c r="C22" s="4">
        <v>1</v>
      </c>
      <c r="D22" s="4" t="s">
        <v>138</v>
      </c>
      <c r="E22" s="4" t="s">
        <v>59</v>
      </c>
      <c r="F22" s="4" t="s">
        <v>196</v>
      </c>
      <c r="G22" s="4" t="s">
        <v>64</v>
      </c>
      <c r="H22" s="4" t="s">
        <v>197</v>
      </c>
      <c r="I22" s="4">
        <v>50</v>
      </c>
      <c r="J22" s="4">
        <v>60.3</v>
      </c>
      <c r="K22" s="4">
        <v>8.74</v>
      </c>
      <c r="L22" s="4">
        <v>6.7</v>
      </c>
      <c r="M22" s="4">
        <v>2.04</v>
      </c>
      <c r="N22" s="4">
        <v>23.34</v>
      </c>
      <c r="O22" s="4" t="s">
        <v>198</v>
      </c>
      <c r="P22" s="4">
        <v>2.14</v>
      </c>
      <c r="Q22" s="4">
        <v>0.08</v>
      </c>
      <c r="R22" s="4"/>
      <c r="S22" s="4">
        <v>2</v>
      </c>
      <c r="T22" s="4">
        <v>1</v>
      </c>
      <c r="U22" s="4" t="s">
        <v>107</v>
      </c>
      <c r="V22" s="4" t="s">
        <v>65</v>
      </c>
      <c r="W22" s="4" t="s">
        <v>66</v>
      </c>
      <c r="X22" s="4">
        <v>56.37</v>
      </c>
      <c r="Y22" s="4">
        <v>2.2799999999999998</v>
      </c>
      <c r="Z22" s="4">
        <v>2.5</v>
      </c>
      <c r="AA22" s="4">
        <v>25</v>
      </c>
      <c r="AB22" s="4">
        <v>2.25</v>
      </c>
      <c r="AC22" s="4">
        <v>0.1</v>
      </c>
      <c r="AD22" s="4">
        <v>5</v>
      </c>
      <c r="AE22" s="4">
        <v>1</v>
      </c>
      <c r="AF22" s="4" t="s">
        <v>108</v>
      </c>
      <c r="AG22" s="4" t="s">
        <v>63</v>
      </c>
      <c r="AH22" s="4">
        <v>0</v>
      </c>
      <c r="AI22" s="4">
        <v>0</v>
      </c>
      <c r="AJ22" s="4">
        <v>0</v>
      </c>
      <c r="AK22" s="4">
        <v>0</v>
      </c>
      <c r="AL22" s="4" t="s">
        <v>60</v>
      </c>
      <c r="AM22" s="4">
        <v>0.5</v>
      </c>
      <c r="AN22" s="4">
        <v>0.2</v>
      </c>
      <c r="AO22" s="4">
        <v>28.18</v>
      </c>
      <c r="AP22" s="4">
        <v>0.5</v>
      </c>
      <c r="AQ22" s="4">
        <v>0</v>
      </c>
      <c r="AR22" s="4"/>
      <c r="AS22" s="4" t="s">
        <v>59</v>
      </c>
      <c r="AT22" s="4"/>
      <c r="AU22" s="4" t="s">
        <v>61</v>
      </c>
      <c r="AV22" s="4"/>
      <c r="AW22" s="4">
        <v>5.58</v>
      </c>
      <c r="AX22" s="4">
        <v>2.14</v>
      </c>
      <c r="AY22" s="4">
        <v>1.8</v>
      </c>
      <c r="AZ22" s="4" t="s">
        <v>62</v>
      </c>
      <c r="BA22" s="4" t="s">
        <v>199</v>
      </c>
      <c r="BB22" s="4"/>
      <c r="BC22" s="4">
        <v>8.0890820206409558E-2</v>
      </c>
      <c r="BD22" s="4" t="s">
        <v>110</v>
      </c>
      <c r="BE22" s="4">
        <v>2.2799999713897705</v>
      </c>
      <c r="BF22" s="4"/>
      <c r="BG22" s="4"/>
      <c r="BH22" s="4"/>
      <c r="BJ22" s="4"/>
      <c r="BK22" s="4"/>
      <c r="BL22" s="4"/>
    </row>
    <row r="23" spans="1:64" x14ac:dyDescent="0.25">
      <c r="A23" s="2" t="str">
        <f t="shared" si="0"/>
        <v>K66 Production Wellhead1</v>
      </c>
      <c r="B23" s="4" t="s">
        <v>200</v>
      </c>
      <c r="C23" s="4">
        <v>1</v>
      </c>
      <c r="D23" s="4" t="s">
        <v>138</v>
      </c>
      <c r="E23" s="4" t="s">
        <v>59</v>
      </c>
      <c r="F23" s="4" t="s">
        <v>196</v>
      </c>
      <c r="G23" s="4" t="s">
        <v>64</v>
      </c>
      <c r="H23" s="4" t="s">
        <v>197</v>
      </c>
      <c r="I23" s="4">
        <v>50</v>
      </c>
      <c r="J23" s="4">
        <v>60.3</v>
      </c>
      <c r="K23" s="4">
        <v>8.74</v>
      </c>
      <c r="L23" s="4">
        <v>6.7</v>
      </c>
      <c r="M23" s="4">
        <v>2.04</v>
      </c>
      <c r="N23" s="4">
        <v>23.34</v>
      </c>
      <c r="O23" s="4" t="s">
        <v>201</v>
      </c>
      <c r="P23" s="4">
        <v>2.14</v>
      </c>
      <c r="Q23" s="4">
        <v>0.08</v>
      </c>
      <c r="R23" s="4"/>
      <c r="S23" s="4">
        <v>2</v>
      </c>
      <c r="T23" s="4">
        <v>1</v>
      </c>
      <c r="U23" s="4" t="s">
        <v>107</v>
      </c>
      <c r="V23" s="4" t="s">
        <v>65</v>
      </c>
      <c r="W23" s="4" t="s">
        <v>66</v>
      </c>
      <c r="X23" s="4">
        <v>56.37</v>
      </c>
      <c r="Y23" s="4">
        <v>2.2799999999999998</v>
      </c>
      <c r="Z23" s="4">
        <v>2.5</v>
      </c>
      <c r="AA23" s="4">
        <v>25</v>
      </c>
      <c r="AB23" s="4">
        <v>2.25</v>
      </c>
      <c r="AC23" s="4">
        <v>0.1</v>
      </c>
      <c r="AD23" s="4">
        <v>5</v>
      </c>
      <c r="AE23" s="4">
        <v>1</v>
      </c>
      <c r="AF23" s="4" t="s">
        <v>108</v>
      </c>
      <c r="AG23" s="4" t="s">
        <v>63</v>
      </c>
      <c r="AH23" s="4">
        <v>0</v>
      </c>
      <c r="AI23" s="4">
        <v>0</v>
      </c>
      <c r="AJ23" s="4">
        <v>0</v>
      </c>
      <c r="AK23" s="4">
        <v>0</v>
      </c>
      <c r="AL23" s="4" t="s">
        <v>60</v>
      </c>
      <c r="AM23" s="4">
        <v>0.5</v>
      </c>
      <c r="AN23" s="4">
        <v>0.2</v>
      </c>
      <c r="AO23" s="4">
        <v>28.18</v>
      </c>
      <c r="AP23" s="4">
        <v>0.5</v>
      </c>
      <c r="AQ23" s="4">
        <v>0</v>
      </c>
      <c r="AR23" s="4"/>
      <c r="AS23" s="4" t="s">
        <v>59</v>
      </c>
      <c r="AT23" s="4"/>
      <c r="AU23" s="4" t="s">
        <v>61</v>
      </c>
      <c r="AV23" s="4"/>
      <c r="AW23" s="4">
        <v>5.58</v>
      </c>
      <c r="AX23" s="4">
        <v>2.14</v>
      </c>
      <c r="AY23" s="4">
        <v>1.8</v>
      </c>
      <c r="AZ23" s="4" t="s">
        <v>62</v>
      </c>
      <c r="BA23" s="4" t="s">
        <v>199</v>
      </c>
      <c r="BB23" s="4"/>
      <c r="BC23" s="4">
        <v>8.0890820206409558E-2</v>
      </c>
      <c r="BD23" s="4" t="s">
        <v>110</v>
      </c>
      <c r="BE23" s="4">
        <v>2.2799999713897705</v>
      </c>
      <c r="BF23" s="4"/>
      <c r="BG23" s="4"/>
      <c r="BH23" s="4"/>
      <c r="BJ23" s="4"/>
      <c r="BK23" s="4"/>
      <c r="BL23" s="4"/>
    </row>
    <row r="24" spans="1:64" x14ac:dyDescent="0.25">
      <c r="A24" s="2" t="str">
        <f t="shared" si="0"/>
        <v>K66 Production Wellhead2</v>
      </c>
      <c r="B24" s="4" t="s">
        <v>200</v>
      </c>
      <c r="C24" s="4">
        <v>2</v>
      </c>
      <c r="D24" s="4" t="s">
        <v>133</v>
      </c>
      <c r="E24" s="4" t="s">
        <v>59</v>
      </c>
      <c r="F24" s="4" t="s">
        <v>196</v>
      </c>
      <c r="G24" s="4" t="s">
        <v>64</v>
      </c>
      <c r="H24" s="4" t="s">
        <v>197</v>
      </c>
      <c r="I24" s="4">
        <v>50</v>
      </c>
      <c r="J24" s="4">
        <v>60.3</v>
      </c>
      <c r="K24" s="4">
        <v>11.07</v>
      </c>
      <c r="L24" s="4">
        <v>8.3000000000000007</v>
      </c>
      <c r="M24" s="4">
        <v>2.77</v>
      </c>
      <c r="N24" s="4">
        <v>25.02</v>
      </c>
      <c r="O24" s="4" t="s">
        <v>202</v>
      </c>
      <c r="P24" s="4">
        <v>2.14</v>
      </c>
      <c r="Q24" s="4">
        <v>0.1</v>
      </c>
      <c r="R24" s="4"/>
      <c r="S24" s="4">
        <v>2</v>
      </c>
      <c r="T24" s="4">
        <v>1</v>
      </c>
      <c r="U24" s="4" t="s">
        <v>107</v>
      </c>
      <c r="V24" s="4" t="s">
        <v>65</v>
      </c>
      <c r="W24" s="4" t="s">
        <v>66</v>
      </c>
      <c r="X24" s="4">
        <v>56.08</v>
      </c>
      <c r="Y24" s="4">
        <v>3.08</v>
      </c>
      <c r="Z24" s="4">
        <v>4.0999999999999996</v>
      </c>
      <c r="AA24" s="4">
        <v>25</v>
      </c>
      <c r="AB24" s="4">
        <v>2.2400000000000002</v>
      </c>
      <c r="AC24" s="4">
        <v>0.16</v>
      </c>
      <c r="AD24" s="4">
        <v>5</v>
      </c>
      <c r="AE24" s="4">
        <v>1</v>
      </c>
      <c r="AF24" s="4" t="s">
        <v>108</v>
      </c>
      <c r="AG24" s="4" t="s">
        <v>63</v>
      </c>
      <c r="AH24" s="4">
        <v>0</v>
      </c>
      <c r="AI24" s="4">
        <v>0</v>
      </c>
      <c r="AJ24" s="4">
        <v>0</v>
      </c>
      <c r="AK24" s="4">
        <v>0</v>
      </c>
      <c r="AL24" s="4" t="s">
        <v>60</v>
      </c>
      <c r="AM24" s="4">
        <v>0.5</v>
      </c>
      <c r="AN24" s="4">
        <v>0.2</v>
      </c>
      <c r="AO24" s="4">
        <v>28.04</v>
      </c>
      <c r="AP24" s="4">
        <v>0.82</v>
      </c>
      <c r="AQ24" s="4">
        <v>0</v>
      </c>
      <c r="AR24" s="4"/>
      <c r="AS24" s="4" t="s">
        <v>59</v>
      </c>
      <c r="AT24" s="4"/>
      <c r="AU24" s="4" t="s">
        <v>61</v>
      </c>
      <c r="AV24" s="4"/>
      <c r="AW24" s="4">
        <v>5.58</v>
      </c>
      <c r="AX24" s="4">
        <v>2.14</v>
      </c>
      <c r="AY24" s="4">
        <v>1.8</v>
      </c>
      <c r="AZ24" s="4" t="s">
        <v>62</v>
      </c>
      <c r="BA24" s="4" t="s">
        <v>137</v>
      </c>
      <c r="BB24" s="4"/>
      <c r="BC24" s="4">
        <v>0.10983704508419337</v>
      </c>
      <c r="BD24" s="4" t="s">
        <v>110</v>
      </c>
      <c r="BE24" s="4">
        <v>3.0799999237060547</v>
      </c>
      <c r="BF24" s="4"/>
      <c r="BG24" s="4"/>
      <c r="BH24" s="4"/>
      <c r="BJ24" s="4"/>
      <c r="BK24" s="4"/>
      <c r="BL24" s="4"/>
    </row>
    <row r="25" spans="1:64" x14ac:dyDescent="0.25">
      <c r="A25" s="2" t="str">
        <f t="shared" si="0"/>
        <v>L23 Production Wellhead2</v>
      </c>
      <c r="B25" s="4" t="s">
        <v>203</v>
      </c>
      <c r="C25" s="4">
        <v>2</v>
      </c>
      <c r="D25" s="4" t="s">
        <v>133</v>
      </c>
      <c r="E25" s="4" t="s">
        <v>59</v>
      </c>
      <c r="F25" s="4" t="s">
        <v>196</v>
      </c>
      <c r="G25" s="4" t="s">
        <v>64</v>
      </c>
      <c r="H25" s="4" t="s">
        <v>204</v>
      </c>
      <c r="I25" s="4">
        <v>50</v>
      </c>
      <c r="J25" s="4">
        <v>60.3</v>
      </c>
      <c r="K25" s="4">
        <v>10.4</v>
      </c>
      <c r="L25" s="4">
        <v>7.9</v>
      </c>
      <c r="M25" s="4">
        <v>2.5</v>
      </c>
      <c r="N25" s="4">
        <v>24.03</v>
      </c>
      <c r="O25" s="4" t="s">
        <v>205</v>
      </c>
      <c r="P25" s="4">
        <v>2.14</v>
      </c>
      <c r="Q25" s="4">
        <v>0.09</v>
      </c>
      <c r="R25" s="4"/>
      <c r="S25" s="4">
        <v>2</v>
      </c>
      <c r="T25" s="4">
        <v>1</v>
      </c>
      <c r="U25" s="4" t="s">
        <v>107</v>
      </c>
      <c r="V25" s="4" t="s">
        <v>65</v>
      </c>
      <c r="W25" s="4" t="s">
        <v>66</v>
      </c>
      <c r="X25" s="4">
        <v>58.1</v>
      </c>
      <c r="Y25" s="4">
        <v>2.88</v>
      </c>
      <c r="Z25" s="4">
        <v>3.7</v>
      </c>
      <c r="AA25" s="4">
        <v>25</v>
      </c>
      <c r="AB25" s="4">
        <v>2.3199999999999998</v>
      </c>
      <c r="AC25" s="4">
        <v>0.15</v>
      </c>
      <c r="AD25" s="4">
        <v>5</v>
      </c>
      <c r="AE25" s="4">
        <v>1</v>
      </c>
      <c r="AF25" s="4" t="s">
        <v>108</v>
      </c>
      <c r="AG25" s="4" t="s">
        <v>63</v>
      </c>
      <c r="AH25" s="4">
        <v>0</v>
      </c>
      <c r="AI25" s="4">
        <v>0</v>
      </c>
      <c r="AJ25" s="4">
        <v>0</v>
      </c>
      <c r="AK25" s="4">
        <v>0</v>
      </c>
      <c r="AL25" s="4" t="s">
        <v>60</v>
      </c>
      <c r="AM25" s="4">
        <v>0.5</v>
      </c>
      <c r="AN25" s="4">
        <v>0.2</v>
      </c>
      <c r="AO25" s="4">
        <v>29.05</v>
      </c>
      <c r="AP25" s="4">
        <v>0.74</v>
      </c>
      <c r="AQ25" s="4">
        <v>0</v>
      </c>
      <c r="AR25" s="4"/>
      <c r="AS25" s="4" t="s">
        <v>59</v>
      </c>
      <c r="AT25" s="4"/>
      <c r="AU25" s="4" t="s">
        <v>61</v>
      </c>
      <c r="AV25" s="4"/>
      <c r="AW25" s="4">
        <v>5.58</v>
      </c>
      <c r="AX25" s="4">
        <v>2.14</v>
      </c>
      <c r="AY25" s="4">
        <v>1.8</v>
      </c>
      <c r="AZ25" s="4" t="s">
        <v>62</v>
      </c>
      <c r="BA25" s="4" t="s">
        <v>206</v>
      </c>
      <c r="BB25" s="4"/>
      <c r="BC25" s="4">
        <v>9.914167753150803E-2</v>
      </c>
      <c r="BD25" s="4" t="s">
        <v>110</v>
      </c>
      <c r="BE25" s="4">
        <v>2.880000114440918</v>
      </c>
      <c r="BF25" s="4"/>
      <c r="BG25" s="4"/>
      <c r="BH25" s="4"/>
      <c r="BJ25" s="4"/>
      <c r="BK25" s="4"/>
      <c r="BL25" s="4"/>
    </row>
    <row r="26" spans="1:64" x14ac:dyDescent="0.25">
      <c r="A26" s="2" t="str">
        <f t="shared" si="0"/>
        <v>L62 Production Wellhead2</v>
      </c>
      <c r="B26" s="4" t="s">
        <v>207</v>
      </c>
      <c r="C26" s="4">
        <v>2</v>
      </c>
      <c r="D26" s="4" t="s">
        <v>122</v>
      </c>
      <c r="E26" s="4" t="s">
        <v>59</v>
      </c>
      <c r="F26" s="4" t="s">
        <v>208</v>
      </c>
      <c r="G26" s="4" t="s">
        <v>64</v>
      </c>
      <c r="H26" s="4" t="s">
        <v>209</v>
      </c>
      <c r="I26" s="4">
        <v>50</v>
      </c>
      <c r="J26" s="4">
        <v>60.3</v>
      </c>
      <c r="K26" s="4">
        <v>10.7</v>
      </c>
      <c r="L26" s="4">
        <v>8.1999999999999993</v>
      </c>
      <c r="M26" s="4">
        <v>2.5</v>
      </c>
      <c r="N26" s="4">
        <v>23.36</v>
      </c>
      <c r="O26" s="4" t="s">
        <v>210</v>
      </c>
      <c r="P26" s="4">
        <v>2.14</v>
      </c>
      <c r="Q26" s="4">
        <v>0.09</v>
      </c>
      <c r="R26" s="4"/>
      <c r="S26" s="4">
        <v>2</v>
      </c>
      <c r="T26" s="4">
        <v>1</v>
      </c>
      <c r="U26" s="4" t="s">
        <v>107</v>
      </c>
      <c r="V26" s="4" t="s">
        <v>65</v>
      </c>
      <c r="W26" s="4" t="s">
        <v>66</v>
      </c>
      <c r="X26" s="4">
        <v>60.85</v>
      </c>
      <c r="Y26" s="4">
        <v>3.03</v>
      </c>
      <c r="Z26" s="4">
        <v>3.89</v>
      </c>
      <c r="AA26" s="4">
        <v>25</v>
      </c>
      <c r="AB26" s="4">
        <v>2.4300000000000002</v>
      </c>
      <c r="AC26" s="4">
        <v>0.16</v>
      </c>
      <c r="AD26" s="4">
        <v>5</v>
      </c>
      <c r="AE26" s="4">
        <v>1</v>
      </c>
      <c r="AF26" s="4" t="s">
        <v>108</v>
      </c>
      <c r="AG26" s="4" t="s">
        <v>63</v>
      </c>
      <c r="AH26" s="4">
        <v>0</v>
      </c>
      <c r="AI26" s="4">
        <v>0</v>
      </c>
      <c r="AJ26" s="4">
        <v>0</v>
      </c>
      <c r="AK26" s="4">
        <v>0</v>
      </c>
      <c r="AL26" s="4" t="s">
        <v>60</v>
      </c>
      <c r="AM26" s="4">
        <v>0.5</v>
      </c>
      <c r="AN26" s="4">
        <v>0.2</v>
      </c>
      <c r="AO26" s="4">
        <v>30.43</v>
      </c>
      <c r="AP26" s="4">
        <v>0.78</v>
      </c>
      <c r="AQ26" s="4">
        <v>0</v>
      </c>
      <c r="AR26" s="4"/>
      <c r="AS26" s="4" t="s">
        <v>59</v>
      </c>
      <c r="AT26" s="4"/>
      <c r="AU26" s="4" t="s">
        <v>61</v>
      </c>
      <c r="AV26" s="4"/>
      <c r="AW26" s="4">
        <v>5.58</v>
      </c>
      <c r="AX26" s="4">
        <v>2.14</v>
      </c>
      <c r="AY26" s="4">
        <v>1.8</v>
      </c>
      <c r="AZ26" s="4" t="s">
        <v>62</v>
      </c>
      <c r="BA26" s="4" t="s">
        <v>109</v>
      </c>
      <c r="BB26" s="4"/>
      <c r="BC26" s="4">
        <v>9.9585288660918925E-2</v>
      </c>
      <c r="BD26" s="4" t="s">
        <v>110</v>
      </c>
      <c r="BE26" s="4">
        <v>3.0299999713897705</v>
      </c>
      <c r="BF26" s="4"/>
      <c r="BG26" s="4"/>
      <c r="BH26" s="4"/>
      <c r="BJ26" s="4"/>
      <c r="BK26" s="4"/>
      <c r="BL26" s="4"/>
    </row>
    <row r="27" spans="1:64" x14ac:dyDescent="0.25">
      <c r="A27" s="2" t="str">
        <f t="shared" si="0"/>
        <v>L64 Production Wellhead1</v>
      </c>
      <c r="B27" s="4" t="s">
        <v>211</v>
      </c>
      <c r="C27" s="4">
        <v>1</v>
      </c>
      <c r="D27" s="4" t="s">
        <v>138</v>
      </c>
      <c r="E27" s="4" t="s">
        <v>59</v>
      </c>
      <c r="F27" s="4" t="s">
        <v>212</v>
      </c>
      <c r="G27" s="4" t="s">
        <v>64</v>
      </c>
      <c r="H27" s="4" t="s">
        <v>213</v>
      </c>
      <c r="I27" s="4">
        <v>50</v>
      </c>
      <c r="J27" s="4">
        <v>60.3</v>
      </c>
      <c r="K27" s="4">
        <v>10</v>
      </c>
      <c r="L27" s="4">
        <v>7.3</v>
      </c>
      <c r="M27" s="4">
        <v>2.7</v>
      </c>
      <c r="N27" s="4">
        <v>27</v>
      </c>
      <c r="O27" s="4" t="s">
        <v>214</v>
      </c>
      <c r="P27" s="4">
        <v>2.14</v>
      </c>
      <c r="Q27" s="4">
        <v>0.1</v>
      </c>
      <c r="R27" s="4"/>
      <c r="S27" s="4">
        <v>2</v>
      </c>
      <c r="T27" s="4">
        <v>1</v>
      </c>
      <c r="U27" s="4" t="s">
        <v>107</v>
      </c>
      <c r="V27" s="4" t="s">
        <v>65</v>
      </c>
      <c r="W27" s="4" t="s">
        <v>66</v>
      </c>
      <c r="X27" s="4">
        <v>48.02</v>
      </c>
      <c r="Y27" s="4">
        <v>2.58</v>
      </c>
      <c r="Z27" s="4">
        <v>3.01</v>
      </c>
      <c r="AA27" s="4">
        <v>25</v>
      </c>
      <c r="AB27" s="4">
        <v>1.92</v>
      </c>
      <c r="AC27" s="4">
        <v>0.12</v>
      </c>
      <c r="AD27" s="4">
        <v>4</v>
      </c>
      <c r="AE27" s="4">
        <v>1</v>
      </c>
      <c r="AF27" s="4" t="s">
        <v>60</v>
      </c>
      <c r="AG27" s="4" t="s">
        <v>63</v>
      </c>
      <c r="AH27" s="4">
        <v>0</v>
      </c>
      <c r="AI27" s="4">
        <v>0</v>
      </c>
      <c r="AJ27" s="4">
        <v>0</v>
      </c>
      <c r="AK27" s="4">
        <v>0</v>
      </c>
      <c r="AL27" s="4" t="s">
        <v>60</v>
      </c>
      <c r="AM27" s="4">
        <v>0.4</v>
      </c>
      <c r="AN27" s="4">
        <v>0.2</v>
      </c>
      <c r="AO27" s="4">
        <v>19.21</v>
      </c>
      <c r="AP27" s="4">
        <v>0.6</v>
      </c>
      <c r="AQ27" s="4">
        <v>0</v>
      </c>
      <c r="AR27" s="4"/>
      <c r="AS27" s="4" t="s">
        <v>59</v>
      </c>
      <c r="AT27" s="4"/>
      <c r="AU27" s="4" t="s">
        <v>61</v>
      </c>
      <c r="AV27" s="4"/>
      <c r="AW27" s="4">
        <v>5.58</v>
      </c>
      <c r="AX27" s="4">
        <v>2.14</v>
      </c>
      <c r="AY27" s="4">
        <v>1.8</v>
      </c>
      <c r="AZ27" s="4" t="s">
        <v>62</v>
      </c>
      <c r="BA27" s="4" t="s">
        <v>215</v>
      </c>
      <c r="BB27" s="4"/>
      <c r="BC27" s="4">
        <v>0.10744657653728741</v>
      </c>
      <c r="BD27" s="4" t="s">
        <v>110</v>
      </c>
      <c r="BE27" s="4">
        <v>2.5799999237060547</v>
      </c>
      <c r="BF27" s="4"/>
      <c r="BG27" s="4"/>
      <c r="BH27" s="4"/>
      <c r="BJ27" s="4"/>
      <c r="BK27" s="4"/>
      <c r="BL27" s="4"/>
    </row>
    <row r="28" spans="1:64" x14ac:dyDescent="0.25">
      <c r="A28" s="2" t="str">
        <f t="shared" si="0"/>
        <v>L65 Production Wellhead2</v>
      </c>
      <c r="B28" s="4" t="s">
        <v>216</v>
      </c>
      <c r="C28" s="4">
        <v>2</v>
      </c>
      <c r="D28" s="4" t="s">
        <v>133</v>
      </c>
      <c r="E28" s="4" t="s">
        <v>59</v>
      </c>
      <c r="F28" s="4" t="s">
        <v>217</v>
      </c>
      <c r="G28" s="4" t="s">
        <v>64</v>
      </c>
      <c r="H28" s="4" t="s">
        <v>218</v>
      </c>
      <c r="I28" s="4">
        <v>50</v>
      </c>
      <c r="J28" s="4">
        <v>60.3</v>
      </c>
      <c r="K28" s="4">
        <v>11.5</v>
      </c>
      <c r="L28" s="4">
        <v>8.6999999999999993</v>
      </c>
      <c r="M28" s="4">
        <v>2.8</v>
      </c>
      <c r="N28" s="4">
        <v>24.34</v>
      </c>
      <c r="O28" s="4" t="s">
        <v>219</v>
      </c>
      <c r="P28" s="4">
        <v>2.14</v>
      </c>
      <c r="Q28" s="4">
        <v>0.11</v>
      </c>
      <c r="R28" s="4"/>
      <c r="S28" s="4">
        <v>2</v>
      </c>
      <c r="T28" s="4">
        <v>1</v>
      </c>
      <c r="U28" s="4" t="s">
        <v>107</v>
      </c>
      <c r="V28" s="4" t="s">
        <v>65</v>
      </c>
      <c r="W28" s="4" t="s">
        <v>66</v>
      </c>
      <c r="X28" s="4">
        <v>58.9</v>
      </c>
      <c r="Y28" s="4">
        <v>3.28</v>
      </c>
      <c r="Z28" s="4">
        <v>4.42</v>
      </c>
      <c r="AA28" s="4">
        <v>25</v>
      </c>
      <c r="AB28" s="4">
        <v>2.36</v>
      </c>
      <c r="AC28" s="4">
        <v>0.18</v>
      </c>
      <c r="AD28" s="4">
        <v>5</v>
      </c>
      <c r="AE28" s="4">
        <v>1</v>
      </c>
      <c r="AF28" s="4" t="s">
        <v>108</v>
      </c>
      <c r="AG28" s="4" t="s">
        <v>63</v>
      </c>
      <c r="AH28" s="4">
        <v>0</v>
      </c>
      <c r="AI28" s="4">
        <v>0</v>
      </c>
      <c r="AJ28" s="4">
        <v>0</v>
      </c>
      <c r="AK28" s="4">
        <v>0</v>
      </c>
      <c r="AL28" s="4" t="s">
        <v>60</v>
      </c>
      <c r="AM28" s="4">
        <v>0.5</v>
      </c>
      <c r="AN28" s="4">
        <v>0.2</v>
      </c>
      <c r="AO28" s="4">
        <v>29.45</v>
      </c>
      <c r="AP28" s="4">
        <v>0.88</v>
      </c>
      <c r="AQ28" s="4">
        <v>0</v>
      </c>
      <c r="AR28" s="4"/>
      <c r="AS28" s="4" t="s">
        <v>59</v>
      </c>
      <c r="AT28" s="4"/>
      <c r="AU28" s="4" t="s">
        <v>61</v>
      </c>
      <c r="AV28" s="4"/>
      <c r="AW28" s="4">
        <v>5.58</v>
      </c>
      <c r="AX28" s="4">
        <v>2.14</v>
      </c>
      <c r="AY28" s="4">
        <v>1.8</v>
      </c>
      <c r="AZ28" s="4" t="s">
        <v>62</v>
      </c>
      <c r="BA28" s="4" t="s">
        <v>168</v>
      </c>
      <c r="BB28" s="4"/>
      <c r="BC28" s="4">
        <v>0.11137750653879686</v>
      </c>
      <c r="BD28" s="4" t="s">
        <v>110</v>
      </c>
      <c r="BE28" s="4">
        <v>3.2799999713897705</v>
      </c>
      <c r="BF28" s="4"/>
      <c r="BG28" s="4"/>
      <c r="BH28" s="4"/>
      <c r="BJ28" s="4"/>
      <c r="BK28" s="4"/>
      <c r="BL28" s="4"/>
    </row>
    <row r="29" spans="1:64" x14ac:dyDescent="0.25">
      <c r="A29" s="2" t="str">
        <f t="shared" si="0"/>
        <v>L82 Production Wellhead1</v>
      </c>
      <c r="B29" s="4" t="s">
        <v>220</v>
      </c>
      <c r="C29" s="4">
        <v>1</v>
      </c>
      <c r="D29" s="4" t="s">
        <v>103</v>
      </c>
      <c r="E29" s="4" t="s">
        <v>59</v>
      </c>
      <c r="F29" s="4" t="s">
        <v>183</v>
      </c>
      <c r="G29" s="4" t="s">
        <v>64</v>
      </c>
      <c r="H29" s="4" t="s">
        <v>180</v>
      </c>
      <c r="I29" s="4">
        <v>50</v>
      </c>
      <c r="J29" s="4">
        <v>60.3</v>
      </c>
      <c r="K29" s="4">
        <v>11.07</v>
      </c>
      <c r="L29" s="4">
        <v>8.4</v>
      </c>
      <c r="M29" s="4">
        <v>2.67</v>
      </c>
      <c r="N29" s="4">
        <v>24.11</v>
      </c>
      <c r="O29" s="4" t="s">
        <v>221</v>
      </c>
      <c r="P29" s="4">
        <v>2.14</v>
      </c>
      <c r="Q29" s="4">
        <v>0.1</v>
      </c>
      <c r="R29" s="4"/>
      <c r="S29" s="4">
        <v>2</v>
      </c>
      <c r="T29" s="4">
        <v>1</v>
      </c>
      <c r="U29" s="4" t="s">
        <v>107</v>
      </c>
      <c r="V29" s="4" t="s">
        <v>65</v>
      </c>
      <c r="W29" s="4" t="s">
        <v>66</v>
      </c>
      <c r="X29" s="4">
        <v>58.58</v>
      </c>
      <c r="Y29" s="4">
        <v>3.13</v>
      </c>
      <c r="Z29" s="4">
        <v>3.97</v>
      </c>
      <c r="AA29" s="4">
        <v>25</v>
      </c>
      <c r="AB29" s="4">
        <v>2.34</v>
      </c>
      <c r="AC29" s="4">
        <v>0.16</v>
      </c>
      <c r="AD29" s="4">
        <v>5</v>
      </c>
      <c r="AE29" s="4">
        <v>1</v>
      </c>
      <c r="AF29" s="4" t="s">
        <v>108</v>
      </c>
      <c r="AG29" s="4" t="s">
        <v>63</v>
      </c>
      <c r="AH29" s="4">
        <v>0</v>
      </c>
      <c r="AI29" s="4">
        <v>0</v>
      </c>
      <c r="AJ29" s="4">
        <v>0</v>
      </c>
      <c r="AK29" s="4">
        <v>0</v>
      </c>
      <c r="AL29" s="4" t="s">
        <v>60</v>
      </c>
      <c r="AM29" s="4">
        <v>0.5</v>
      </c>
      <c r="AN29" s="4">
        <v>0.2</v>
      </c>
      <c r="AO29" s="4">
        <v>29.29</v>
      </c>
      <c r="AP29" s="4">
        <v>0.79</v>
      </c>
      <c r="AQ29" s="4">
        <v>0</v>
      </c>
      <c r="AR29" s="4"/>
      <c r="AS29" s="4" t="s">
        <v>59</v>
      </c>
      <c r="AT29" s="4"/>
      <c r="AU29" s="4" t="s">
        <v>61</v>
      </c>
      <c r="AV29" s="4"/>
      <c r="AW29" s="4">
        <v>5.58</v>
      </c>
      <c r="AX29" s="4">
        <v>2.14</v>
      </c>
      <c r="AY29" s="4">
        <v>1.8</v>
      </c>
      <c r="AZ29" s="4" t="s">
        <v>62</v>
      </c>
      <c r="BA29" s="4" t="s">
        <v>222</v>
      </c>
      <c r="BB29" s="4"/>
      <c r="BC29" s="4">
        <v>0.10687027086303322</v>
      </c>
      <c r="BD29" s="4" t="s">
        <v>110</v>
      </c>
      <c r="BE29" s="4">
        <v>3.130000114440918</v>
      </c>
      <c r="BF29" s="4"/>
      <c r="BG29" s="4"/>
      <c r="BH29" s="4"/>
      <c r="BJ29" s="4"/>
      <c r="BK29" s="4"/>
      <c r="BL29" s="4"/>
    </row>
    <row r="30" spans="1:64" x14ac:dyDescent="0.25">
      <c r="A30" s="2" t="str">
        <f t="shared" si="0"/>
        <v>M23 Production Wellhead2</v>
      </c>
      <c r="B30" s="4" t="s">
        <v>223</v>
      </c>
      <c r="C30" s="4">
        <v>2</v>
      </c>
      <c r="D30" s="4" t="s">
        <v>133</v>
      </c>
      <c r="E30" s="4" t="s">
        <v>59</v>
      </c>
      <c r="F30" s="4" t="s">
        <v>196</v>
      </c>
      <c r="G30" s="4" t="s">
        <v>64</v>
      </c>
      <c r="H30" s="4" t="s">
        <v>224</v>
      </c>
      <c r="I30" s="4">
        <v>50</v>
      </c>
      <c r="J30" s="4">
        <v>60.3</v>
      </c>
      <c r="K30" s="4">
        <v>11</v>
      </c>
      <c r="L30" s="4">
        <v>8.6999999999999993</v>
      </c>
      <c r="M30" s="4">
        <v>2.2999999999999998</v>
      </c>
      <c r="N30" s="4">
        <v>20.9</v>
      </c>
      <c r="O30" s="4" t="s">
        <v>225</v>
      </c>
      <c r="P30" s="4">
        <v>2.14</v>
      </c>
      <c r="Q30" s="4">
        <v>0.09</v>
      </c>
      <c r="R30" s="4"/>
      <c r="S30" s="4">
        <v>2</v>
      </c>
      <c r="T30" s="4">
        <v>1</v>
      </c>
      <c r="U30" s="4" t="s">
        <v>107</v>
      </c>
      <c r="V30" s="4" t="s">
        <v>65</v>
      </c>
      <c r="W30" s="4" t="s">
        <v>66</v>
      </c>
      <c r="X30" s="4">
        <v>71.87</v>
      </c>
      <c r="Y30" s="4">
        <v>3.28</v>
      </c>
      <c r="Z30" s="4">
        <v>4.4800000000000004</v>
      </c>
      <c r="AA30" s="4">
        <v>25</v>
      </c>
      <c r="AB30" s="4">
        <v>2.87</v>
      </c>
      <c r="AC30" s="4">
        <v>0.18</v>
      </c>
      <c r="AD30" s="4">
        <v>5</v>
      </c>
      <c r="AE30" s="4">
        <v>1</v>
      </c>
      <c r="AF30" s="4" t="s">
        <v>108</v>
      </c>
      <c r="AG30" s="4" t="s">
        <v>63</v>
      </c>
      <c r="AH30" s="4">
        <v>0</v>
      </c>
      <c r="AI30" s="4">
        <v>0</v>
      </c>
      <c r="AJ30" s="4">
        <v>0</v>
      </c>
      <c r="AK30" s="4">
        <v>0</v>
      </c>
      <c r="AL30" s="4" t="s">
        <v>60</v>
      </c>
      <c r="AM30" s="4">
        <v>0.5</v>
      </c>
      <c r="AN30" s="4">
        <v>0.2</v>
      </c>
      <c r="AO30" s="4">
        <v>35.94</v>
      </c>
      <c r="AP30" s="4">
        <v>0.9</v>
      </c>
      <c r="AQ30" s="4">
        <v>0</v>
      </c>
      <c r="AR30" s="4"/>
      <c r="AS30" s="4" t="s">
        <v>59</v>
      </c>
      <c r="AT30" s="4"/>
      <c r="AU30" s="4" t="s">
        <v>61</v>
      </c>
      <c r="AV30" s="4"/>
      <c r="AW30" s="4">
        <v>5.58</v>
      </c>
      <c r="AX30" s="4">
        <v>2.14</v>
      </c>
      <c r="AY30" s="4">
        <v>1.8</v>
      </c>
      <c r="AZ30" s="4" t="s">
        <v>62</v>
      </c>
      <c r="BA30" s="4" t="s">
        <v>226</v>
      </c>
      <c r="BB30" s="4"/>
      <c r="BC30" s="4">
        <v>9.1269841269841265E-2</v>
      </c>
      <c r="BD30" s="4" t="s">
        <v>110</v>
      </c>
      <c r="BE30" s="4">
        <v>3.2799999713897705</v>
      </c>
      <c r="BF30" s="4"/>
      <c r="BG30" s="4"/>
      <c r="BH30" s="4"/>
      <c r="BJ30" s="4"/>
      <c r="BK30" s="4"/>
      <c r="BL30" s="4"/>
    </row>
    <row r="31" spans="1:64" x14ac:dyDescent="0.25">
      <c r="A31" s="2" t="str">
        <f t="shared" si="0"/>
        <v>M24 Production Wellhead2</v>
      </c>
      <c r="B31" s="4" t="s">
        <v>227</v>
      </c>
      <c r="C31" s="4">
        <v>2</v>
      </c>
      <c r="D31" s="4" t="s">
        <v>133</v>
      </c>
      <c r="E31" s="4" t="s">
        <v>59</v>
      </c>
      <c r="F31" s="4" t="s">
        <v>196</v>
      </c>
      <c r="G31" s="4" t="s">
        <v>64</v>
      </c>
      <c r="H31" s="4" t="s">
        <v>228</v>
      </c>
      <c r="I31" s="4">
        <v>50</v>
      </c>
      <c r="J31" s="4">
        <v>60.3</v>
      </c>
      <c r="K31" s="4">
        <v>10.5</v>
      </c>
      <c r="L31" s="4">
        <v>8.5</v>
      </c>
      <c r="M31" s="4">
        <v>2</v>
      </c>
      <c r="N31" s="4">
        <v>19.04</v>
      </c>
      <c r="O31" s="4" t="s">
        <v>229</v>
      </c>
      <c r="P31" s="4">
        <v>2.14</v>
      </c>
      <c r="Q31" s="4">
        <v>7.0000000000000007E-2</v>
      </c>
      <c r="R31" s="4"/>
      <c r="S31" s="4">
        <v>2</v>
      </c>
      <c r="T31" s="4">
        <v>1</v>
      </c>
      <c r="U31" s="4" t="s">
        <v>107</v>
      </c>
      <c r="V31" s="4" t="s">
        <v>65</v>
      </c>
      <c r="W31" s="4" t="s">
        <v>66</v>
      </c>
      <c r="X31" s="4">
        <v>80.12</v>
      </c>
      <c r="Y31" s="4">
        <v>3.18</v>
      </c>
      <c r="Z31" s="4">
        <v>4.28</v>
      </c>
      <c r="AA31" s="4">
        <v>25</v>
      </c>
      <c r="AB31" s="4">
        <v>3.2</v>
      </c>
      <c r="AC31" s="4">
        <v>0.17</v>
      </c>
      <c r="AD31" s="4">
        <v>5</v>
      </c>
      <c r="AE31" s="4">
        <v>1</v>
      </c>
      <c r="AF31" s="4" t="s">
        <v>108</v>
      </c>
      <c r="AG31" s="4" t="s">
        <v>63</v>
      </c>
      <c r="AH31" s="4">
        <v>0</v>
      </c>
      <c r="AI31" s="4">
        <v>0</v>
      </c>
      <c r="AJ31" s="4">
        <v>0</v>
      </c>
      <c r="AK31" s="4">
        <v>0</v>
      </c>
      <c r="AL31" s="4" t="s">
        <v>60</v>
      </c>
      <c r="AM31" s="4">
        <v>0.5</v>
      </c>
      <c r="AN31" s="4">
        <v>0.2</v>
      </c>
      <c r="AO31" s="4">
        <v>40.06</v>
      </c>
      <c r="AP31" s="4">
        <v>0.86</v>
      </c>
      <c r="AQ31" s="4">
        <v>0</v>
      </c>
      <c r="AR31" s="4"/>
      <c r="AS31" s="4" t="s">
        <v>59</v>
      </c>
      <c r="AT31" s="4"/>
      <c r="AU31" s="4" t="s">
        <v>61</v>
      </c>
      <c r="AV31" s="4"/>
      <c r="AW31" s="4">
        <v>5.58</v>
      </c>
      <c r="AX31" s="4">
        <v>2.14</v>
      </c>
      <c r="AY31" s="4">
        <v>1.8</v>
      </c>
      <c r="AZ31" s="4" t="s">
        <v>62</v>
      </c>
      <c r="BA31" s="4" t="s">
        <v>230</v>
      </c>
      <c r="BB31" s="4"/>
      <c r="BC31" s="4">
        <v>7.938234014789039E-2</v>
      </c>
      <c r="BD31" s="4" t="s">
        <v>110</v>
      </c>
      <c r="BE31" s="4">
        <v>3.1800000667572021</v>
      </c>
      <c r="BF31" s="4"/>
      <c r="BG31" s="4"/>
      <c r="BH31" s="4"/>
      <c r="BJ31" s="4"/>
      <c r="BK31" s="4"/>
      <c r="BL31" s="4"/>
    </row>
    <row r="32" spans="1:64" x14ac:dyDescent="0.25">
      <c r="A32" s="2" t="str">
        <f t="shared" si="0"/>
        <v>M26 Production Wellhead2</v>
      </c>
      <c r="B32" s="4" t="s">
        <v>231</v>
      </c>
      <c r="C32" s="4">
        <v>2</v>
      </c>
      <c r="D32" s="4" t="s">
        <v>138</v>
      </c>
      <c r="E32" s="4" t="s">
        <v>59</v>
      </c>
      <c r="F32" s="4" t="s">
        <v>196</v>
      </c>
      <c r="G32" s="4" t="s">
        <v>64</v>
      </c>
      <c r="H32" s="4" t="s">
        <v>232</v>
      </c>
      <c r="I32" s="4">
        <v>50</v>
      </c>
      <c r="J32" s="4">
        <v>60.3</v>
      </c>
      <c r="K32" s="4">
        <v>10</v>
      </c>
      <c r="L32" s="4">
        <v>7.5</v>
      </c>
      <c r="M32" s="4">
        <v>2.5</v>
      </c>
      <c r="N32" s="4">
        <v>25</v>
      </c>
      <c r="O32" s="4" t="s">
        <v>233</v>
      </c>
      <c r="P32" s="4">
        <v>2.14</v>
      </c>
      <c r="Q32" s="4">
        <v>0.09</v>
      </c>
      <c r="R32" s="4"/>
      <c r="S32" s="4">
        <v>2</v>
      </c>
      <c r="T32" s="4">
        <v>1</v>
      </c>
      <c r="U32" s="4" t="s">
        <v>107</v>
      </c>
      <c r="V32" s="4" t="s">
        <v>65</v>
      </c>
      <c r="W32" s="4" t="s">
        <v>66</v>
      </c>
      <c r="X32" s="4">
        <v>54.02</v>
      </c>
      <c r="Y32" s="4">
        <v>2.68</v>
      </c>
      <c r="Z32" s="4">
        <v>3.28</v>
      </c>
      <c r="AA32" s="4">
        <v>25</v>
      </c>
      <c r="AB32" s="4">
        <v>2.16</v>
      </c>
      <c r="AC32" s="4">
        <v>0.13</v>
      </c>
      <c r="AD32" s="4">
        <v>5</v>
      </c>
      <c r="AE32" s="4">
        <v>1</v>
      </c>
      <c r="AF32" s="4" t="s">
        <v>108</v>
      </c>
      <c r="AG32" s="4" t="s">
        <v>63</v>
      </c>
      <c r="AH32" s="4">
        <v>0</v>
      </c>
      <c r="AI32" s="4">
        <v>0</v>
      </c>
      <c r="AJ32" s="4">
        <v>0</v>
      </c>
      <c r="AK32" s="4">
        <v>0</v>
      </c>
      <c r="AL32" s="4" t="s">
        <v>60</v>
      </c>
      <c r="AM32" s="4">
        <v>0.5</v>
      </c>
      <c r="AN32" s="4">
        <v>0.2</v>
      </c>
      <c r="AO32" s="4">
        <v>27.01</v>
      </c>
      <c r="AP32" s="4">
        <v>0.66</v>
      </c>
      <c r="AQ32" s="4">
        <v>0</v>
      </c>
      <c r="AR32" s="4"/>
      <c r="AS32" s="4" t="s">
        <v>59</v>
      </c>
      <c r="AT32" s="4"/>
      <c r="AU32" s="4" t="s">
        <v>61</v>
      </c>
      <c r="AV32" s="4"/>
      <c r="AW32" s="4">
        <v>5.58</v>
      </c>
      <c r="AX32" s="4">
        <v>2.14</v>
      </c>
      <c r="AY32" s="4">
        <v>1.8</v>
      </c>
      <c r="AZ32" s="4" t="s">
        <v>62</v>
      </c>
      <c r="BA32" s="4" t="s">
        <v>234</v>
      </c>
      <c r="BB32" s="4"/>
      <c r="BC32" s="4">
        <v>9.9217136022616073E-2</v>
      </c>
      <c r="BD32" s="4" t="s">
        <v>110</v>
      </c>
      <c r="BE32" s="4">
        <v>2.6800000667572021</v>
      </c>
      <c r="BF32" s="4"/>
      <c r="BG32" s="4"/>
      <c r="BH32" s="4"/>
      <c r="BJ32" s="4"/>
      <c r="BK32" s="4"/>
      <c r="BL32" s="4"/>
    </row>
    <row r="33" spans="1:64" x14ac:dyDescent="0.25">
      <c r="A33" s="2" t="str">
        <f t="shared" si="0"/>
        <v>M27 Production Wellhead1</v>
      </c>
      <c r="B33" s="4" t="s">
        <v>235</v>
      </c>
      <c r="C33" s="4">
        <v>1</v>
      </c>
      <c r="D33" s="4" t="s">
        <v>138</v>
      </c>
      <c r="E33" s="4" t="s">
        <v>59</v>
      </c>
      <c r="F33" s="4" t="s">
        <v>196</v>
      </c>
      <c r="G33" s="4" t="s">
        <v>64</v>
      </c>
      <c r="H33" s="4" t="s">
        <v>232</v>
      </c>
      <c r="I33" s="4">
        <v>50</v>
      </c>
      <c r="J33" s="4">
        <v>60.3</v>
      </c>
      <c r="K33" s="4">
        <v>10.199999999999999</v>
      </c>
      <c r="L33" s="4">
        <v>7.7</v>
      </c>
      <c r="M33" s="4">
        <v>2.5</v>
      </c>
      <c r="N33" s="4">
        <v>24.5</v>
      </c>
      <c r="O33" s="4" t="s">
        <v>236</v>
      </c>
      <c r="P33" s="4">
        <v>2.14</v>
      </c>
      <c r="Q33" s="4">
        <v>0.09</v>
      </c>
      <c r="R33" s="4"/>
      <c r="S33" s="4">
        <v>2</v>
      </c>
      <c r="T33" s="4">
        <v>1</v>
      </c>
      <c r="U33" s="4" t="s">
        <v>107</v>
      </c>
      <c r="V33" s="4" t="s">
        <v>65</v>
      </c>
      <c r="W33" s="4" t="s">
        <v>66</v>
      </c>
      <c r="X33" s="4">
        <v>56.04</v>
      </c>
      <c r="Y33" s="4">
        <v>2.78</v>
      </c>
      <c r="Z33" s="4">
        <v>3.48</v>
      </c>
      <c r="AA33" s="4">
        <v>25</v>
      </c>
      <c r="AB33" s="4">
        <v>2.2400000000000002</v>
      </c>
      <c r="AC33" s="4">
        <v>0.14000000000000001</v>
      </c>
      <c r="AD33" s="4">
        <v>5</v>
      </c>
      <c r="AE33" s="4">
        <v>1</v>
      </c>
      <c r="AF33" s="4" t="s">
        <v>108</v>
      </c>
      <c r="AG33" s="4" t="s">
        <v>63</v>
      </c>
      <c r="AH33" s="4">
        <v>0</v>
      </c>
      <c r="AI33" s="4">
        <v>0</v>
      </c>
      <c r="AJ33" s="4">
        <v>0</v>
      </c>
      <c r="AK33" s="4">
        <v>0</v>
      </c>
      <c r="AL33" s="4" t="s">
        <v>60</v>
      </c>
      <c r="AM33" s="4">
        <v>0.5</v>
      </c>
      <c r="AN33" s="4">
        <v>0.2</v>
      </c>
      <c r="AO33" s="4">
        <v>28.02</v>
      </c>
      <c r="AP33" s="4">
        <v>0.7</v>
      </c>
      <c r="AQ33" s="4">
        <v>0</v>
      </c>
      <c r="AR33" s="4"/>
      <c r="AS33" s="4" t="s">
        <v>59</v>
      </c>
      <c r="AT33" s="4"/>
      <c r="AU33" s="4" t="s">
        <v>61</v>
      </c>
      <c r="AV33" s="4"/>
      <c r="AW33" s="4">
        <v>5.58</v>
      </c>
      <c r="AX33" s="4">
        <v>2.14</v>
      </c>
      <c r="AY33" s="4">
        <v>1.8</v>
      </c>
      <c r="AZ33" s="4" t="s">
        <v>62</v>
      </c>
      <c r="BA33" s="4" t="s">
        <v>237</v>
      </c>
      <c r="BB33" s="4"/>
      <c r="BC33" s="4">
        <v>9.9217136022616073E-2</v>
      </c>
      <c r="BD33" s="4" t="s">
        <v>110</v>
      </c>
      <c r="BE33" s="4">
        <v>2.7799999713897705</v>
      </c>
      <c r="BF33" s="4"/>
      <c r="BG33" s="4"/>
      <c r="BH33" s="4"/>
      <c r="BJ33" s="4"/>
      <c r="BK33" s="4"/>
      <c r="BL33" s="4"/>
    </row>
    <row r="34" spans="1:64" x14ac:dyDescent="0.25">
      <c r="A34" s="2" t="str">
        <f t="shared" si="0"/>
        <v>M84M Production Wellhead1</v>
      </c>
      <c r="B34" s="4" t="s">
        <v>238</v>
      </c>
      <c r="C34" s="4">
        <v>1</v>
      </c>
      <c r="D34" s="4" t="s">
        <v>103</v>
      </c>
      <c r="E34" s="4" t="s">
        <v>59</v>
      </c>
      <c r="F34" s="4" t="s">
        <v>170</v>
      </c>
      <c r="G34" s="4" t="s">
        <v>64</v>
      </c>
      <c r="H34" s="4" t="s">
        <v>239</v>
      </c>
      <c r="I34" s="4">
        <v>50</v>
      </c>
      <c r="J34" s="4">
        <v>60.3</v>
      </c>
      <c r="K34" s="4">
        <v>10.9</v>
      </c>
      <c r="L34" s="4">
        <v>8.8000000000000007</v>
      </c>
      <c r="M34" s="4">
        <v>2.1</v>
      </c>
      <c r="N34" s="4">
        <v>19.260000000000002</v>
      </c>
      <c r="O34" s="4" t="s">
        <v>240</v>
      </c>
      <c r="P34" s="4">
        <v>2.14</v>
      </c>
      <c r="Q34" s="4">
        <v>0.08</v>
      </c>
      <c r="R34" s="4"/>
      <c r="S34" s="4">
        <v>2</v>
      </c>
      <c r="T34" s="4">
        <v>1</v>
      </c>
      <c r="U34" s="4" t="s">
        <v>107</v>
      </c>
      <c r="V34" s="4" t="s">
        <v>65</v>
      </c>
      <c r="W34" s="4" t="s">
        <v>66</v>
      </c>
      <c r="X34" s="4">
        <v>80.12</v>
      </c>
      <c r="Y34" s="4">
        <v>3.33</v>
      </c>
      <c r="Z34" s="4">
        <v>4.6500000000000004</v>
      </c>
      <c r="AA34" s="4">
        <v>25</v>
      </c>
      <c r="AB34" s="4">
        <v>3.2</v>
      </c>
      <c r="AC34" s="4">
        <v>0.19</v>
      </c>
      <c r="AD34" s="4">
        <v>5</v>
      </c>
      <c r="AE34" s="4">
        <v>1</v>
      </c>
      <c r="AF34" s="4" t="s">
        <v>108</v>
      </c>
      <c r="AG34" s="4" t="s">
        <v>63</v>
      </c>
      <c r="AH34" s="4">
        <v>0</v>
      </c>
      <c r="AI34" s="4">
        <v>0</v>
      </c>
      <c r="AJ34" s="4">
        <v>0</v>
      </c>
      <c r="AK34" s="4">
        <v>0</v>
      </c>
      <c r="AL34" s="4" t="s">
        <v>60</v>
      </c>
      <c r="AM34" s="4">
        <v>0.5</v>
      </c>
      <c r="AN34" s="4">
        <v>0.2</v>
      </c>
      <c r="AO34" s="4">
        <v>40.06</v>
      </c>
      <c r="AP34" s="4">
        <v>0.93</v>
      </c>
      <c r="AQ34" s="4">
        <v>0</v>
      </c>
      <c r="AR34" s="4"/>
      <c r="AS34" s="4" t="s">
        <v>59</v>
      </c>
      <c r="AT34" s="4"/>
      <c r="AU34" s="4" t="s">
        <v>61</v>
      </c>
      <c r="AV34" s="4"/>
      <c r="AW34" s="4">
        <v>5.58</v>
      </c>
      <c r="AX34" s="4">
        <v>2.14</v>
      </c>
      <c r="AY34" s="4">
        <v>1.8</v>
      </c>
      <c r="AZ34" s="4" t="s">
        <v>62</v>
      </c>
      <c r="BA34" s="4" t="s">
        <v>241</v>
      </c>
      <c r="BB34" s="4"/>
      <c r="BC34" s="4">
        <v>8.3125474460470666E-2</v>
      </c>
      <c r="BD34" s="4" t="s">
        <v>110</v>
      </c>
      <c r="BE34" s="4">
        <v>3.3299999237060547</v>
      </c>
      <c r="BF34" s="4"/>
      <c r="BG34" s="4"/>
      <c r="BH34" s="4"/>
      <c r="BJ34" s="4"/>
      <c r="BK34" s="4"/>
      <c r="BL34" s="4"/>
    </row>
    <row r="35" spans="1:64" x14ac:dyDescent="0.25">
      <c r="A35" s="2" t="str">
        <f t="shared" si="0"/>
        <v>P21 Production Wellhead1</v>
      </c>
      <c r="B35" s="4" t="s">
        <v>242</v>
      </c>
      <c r="C35" s="4">
        <v>1</v>
      </c>
      <c r="D35" s="4" t="s">
        <v>138</v>
      </c>
      <c r="E35" s="4" t="s">
        <v>59</v>
      </c>
      <c r="F35" s="4" t="s">
        <v>217</v>
      </c>
      <c r="G35" s="4" t="s">
        <v>64</v>
      </c>
      <c r="H35" s="4" t="s">
        <v>243</v>
      </c>
      <c r="I35" s="4">
        <v>50</v>
      </c>
      <c r="J35" s="4">
        <v>60.3</v>
      </c>
      <c r="K35" s="4">
        <v>10.7</v>
      </c>
      <c r="L35" s="4">
        <v>8.6999999999999993</v>
      </c>
      <c r="M35" s="4">
        <v>2</v>
      </c>
      <c r="N35" s="4">
        <v>18.690000000000001</v>
      </c>
      <c r="O35" s="4" t="s">
        <v>244</v>
      </c>
      <c r="P35" s="4">
        <v>2.14</v>
      </c>
      <c r="Q35" s="4">
        <v>7.0000000000000007E-2</v>
      </c>
      <c r="R35" s="4"/>
      <c r="S35" s="4">
        <v>2</v>
      </c>
      <c r="T35" s="4">
        <v>1</v>
      </c>
      <c r="U35" s="4" t="s">
        <v>107</v>
      </c>
      <c r="V35" s="4" t="s">
        <v>65</v>
      </c>
      <c r="W35" s="4" t="s">
        <v>66</v>
      </c>
      <c r="X35" s="4">
        <v>82.61</v>
      </c>
      <c r="Y35" s="4">
        <v>3.28</v>
      </c>
      <c r="Z35" s="4">
        <v>4.47</v>
      </c>
      <c r="AA35" s="4">
        <v>25</v>
      </c>
      <c r="AB35" s="4">
        <v>3.3</v>
      </c>
      <c r="AC35" s="4">
        <v>0.18</v>
      </c>
      <c r="AD35" s="4">
        <v>5</v>
      </c>
      <c r="AE35" s="4">
        <v>1</v>
      </c>
      <c r="AF35" s="4" t="s">
        <v>108</v>
      </c>
      <c r="AG35" s="4" t="s">
        <v>63</v>
      </c>
      <c r="AH35" s="4">
        <v>0</v>
      </c>
      <c r="AI35" s="4">
        <v>0</v>
      </c>
      <c r="AJ35" s="4">
        <v>0</v>
      </c>
      <c r="AK35" s="4">
        <v>0</v>
      </c>
      <c r="AL35" s="4" t="s">
        <v>60</v>
      </c>
      <c r="AM35" s="4">
        <v>0.5</v>
      </c>
      <c r="AN35" s="4">
        <v>0.2</v>
      </c>
      <c r="AO35" s="4">
        <v>41.3</v>
      </c>
      <c r="AP35" s="4">
        <v>0.89</v>
      </c>
      <c r="AQ35" s="4">
        <v>0</v>
      </c>
      <c r="AR35" s="4"/>
      <c r="AS35" s="4" t="s">
        <v>59</v>
      </c>
      <c r="AT35" s="4"/>
      <c r="AU35" s="4" t="s">
        <v>61</v>
      </c>
      <c r="AV35" s="4"/>
      <c r="AW35" s="4">
        <v>5.58</v>
      </c>
      <c r="AX35" s="4">
        <v>2.14</v>
      </c>
      <c r="AY35" s="4">
        <v>1.8</v>
      </c>
      <c r="AZ35" s="4" t="s">
        <v>62</v>
      </c>
      <c r="BA35" s="4" t="s">
        <v>245</v>
      </c>
      <c r="BB35" s="4"/>
      <c r="BC35" s="4">
        <v>7.940824540411183E-2</v>
      </c>
      <c r="BD35" s="4" t="s">
        <v>110</v>
      </c>
      <c r="BE35" s="4">
        <v>3.2799999713897705</v>
      </c>
      <c r="BF35" s="4"/>
      <c r="BG35" s="4"/>
      <c r="BH35" s="4"/>
      <c r="BJ35" s="4"/>
      <c r="BK35" s="4"/>
      <c r="BL35" s="4"/>
    </row>
    <row r="36" spans="1:64" x14ac:dyDescent="0.25">
      <c r="A36" s="2" t="str">
        <f t="shared" si="0"/>
        <v>P23 Production Wellhead2</v>
      </c>
      <c r="B36" s="4" t="s">
        <v>246</v>
      </c>
      <c r="C36" s="4">
        <v>2</v>
      </c>
      <c r="D36" s="4" t="s">
        <v>122</v>
      </c>
      <c r="E36" s="4" t="s">
        <v>59</v>
      </c>
      <c r="F36" s="4" t="s">
        <v>170</v>
      </c>
      <c r="G36" s="4" t="s">
        <v>64</v>
      </c>
      <c r="H36" s="4" t="s">
        <v>247</v>
      </c>
      <c r="I36" s="4">
        <v>50</v>
      </c>
      <c r="J36" s="4">
        <v>60.3</v>
      </c>
      <c r="K36" s="4">
        <v>10.7</v>
      </c>
      <c r="L36" s="4">
        <v>8.6</v>
      </c>
      <c r="M36" s="4">
        <v>2.1</v>
      </c>
      <c r="N36" s="4">
        <v>19.62</v>
      </c>
      <c r="O36" s="4" t="s">
        <v>248</v>
      </c>
      <c r="P36" s="4">
        <v>2.14</v>
      </c>
      <c r="Q36" s="4">
        <v>0.08</v>
      </c>
      <c r="R36" s="4"/>
      <c r="S36" s="4">
        <v>2</v>
      </c>
      <c r="T36" s="4">
        <v>1</v>
      </c>
      <c r="U36" s="4" t="s">
        <v>107</v>
      </c>
      <c r="V36" s="4" t="s">
        <v>65</v>
      </c>
      <c r="W36" s="4" t="s">
        <v>66</v>
      </c>
      <c r="X36" s="4">
        <v>78.239999999999995</v>
      </c>
      <c r="Y36" s="4">
        <v>3.23</v>
      </c>
      <c r="Z36" s="4">
        <v>4.62</v>
      </c>
      <c r="AA36" s="4">
        <v>25</v>
      </c>
      <c r="AB36" s="4">
        <v>3.13</v>
      </c>
      <c r="AC36" s="4">
        <v>0.18</v>
      </c>
      <c r="AD36" s="4">
        <v>5</v>
      </c>
      <c r="AE36" s="4">
        <v>1</v>
      </c>
      <c r="AF36" s="4" t="s">
        <v>108</v>
      </c>
      <c r="AG36" s="4" t="s">
        <v>63</v>
      </c>
      <c r="AH36" s="4">
        <v>0</v>
      </c>
      <c r="AI36" s="4">
        <v>0</v>
      </c>
      <c r="AJ36" s="4">
        <v>0</v>
      </c>
      <c r="AK36" s="4">
        <v>0</v>
      </c>
      <c r="AL36" s="4" t="s">
        <v>60</v>
      </c>
      <c r="AM36" s="4">
        <v>0.5</v>
      </c>
      <c r="AN36" s="4">
        <v>0.2</v>
      </c>
      <c r="AO36" s="4">
        <v>39.119999999999997</v>
      </c>
      <c r="AP36" s="4">
        <v>0.92</v>
      </c>
      <c r="AQ36" s="4">
        <v>0</v>
      </c>
      <c r="AR36" s="4"/>
      <c r="AS36" s="4" t="s">
        <v>59</v>
      </c>
      <c r="AT36" s="4"/>
      <c r="AU36" s="4" t="s">
        <v>61</v>
      </c>
      <c r="AV36" s="4"/>
      <c r="AW36" s="4">
        <v>5.58</v>
      </c>
      <c r="AX36" s="4">
        <v>2.14</v>
      </c>
      <c r="AY36" s="4">
        <v>1.8</v>
      </c>
      <c r="AZ36" s="4" t="s">
        <v>62</v>
      </c>
      <c r="BA36" s="4" t="s">
        <v>249</v>
      </c>
      <c r="BB36" s="4"/>
      <c r="BC36" s="4">
        <v>8.2561395950021543E-2</v>
      </c>
      <c r="BD36" s="4" t="s">
        <v>110</v>
      </c>
      <c r="BE36" s="4">
        <v>3.2300000190734863</v>
      </c>
      <c r="BF36" s="4"/>
      <c r="BG36" s="4"/>
      <c r="BH36" s="4"/>
      <c r="BJ36" s="4"/>
      <c r="BK36" s="4"/>
      <c r="BL36" s="4"/>
    </row>
    <row r="37" spans="1:64" x14ac:dyDescent="0.25">
      <c r="A37" s="2" t="str">
        <f t="shared" si="0"/>
        <v>P24 Production Wellhead1</v>
      </c>
      <c r="B37" s="4" t="s">
        <v>250</v>
      </c>
      <c r="C37" s="4">
        <v>1</v>
      </c>
      <c r="D37" s="4" t="s">
        <v>138</v>
      </c>
      <c r="E37" s="4" t="s">
        <v>59</v>
      </c>
      <c r="F37" s="4" t="s">
        <v>217</v>
      </c>
      <c r="G37" s="4" t="s">
        <v>64</v>
      </c>
      <c r="H37" s="4" t="s">
        <v>243</v>
      </c>
      <c r="I37" s="4">
        <v>50</v>
      </c>
      <c r="J37" s="4">
        <v>60.3</v>
      </c>
      <c r="K37" s="4">
        <v>10.1</v>
      </c>
      <c r="L37" s="4">
        <v>7.9</v>
      </c>
      <c r="M37" s="4">
        <v>2.2000000000000002</v>
      </c>
      <c r="N37" s="4">
        <v>21.78</v>
      </c>
      <c r="O37" s="4" t="s">
        <v>251</v>
      </c>
      <c r="P37" s="4">
        <v>2.14</v>
      </c>
      <c r="Q37" s="4">
        <v>0.08</v>
      </c>
      <c r="R37" s="4"/>
      <c r="S37" s="4">
        <v>2</v>
      </c>
      <c r="T37" s="4">
        <v>1</v>
      </c>
      <c r="U37" s="4" t="s">
        <v>107</v>
      </c>
      <c r="V37" s="4" t="s">
        <v>65</v>
      </c>
      <c r="W37" s="4" t="s">
        <v>66</v>
      </c>
      <c r="X37" s="4">
        <v>65.94</v>
      </c>
      <c r="Y37" s="4">
        <v>2.88</v>
      </c>
      <c r="Z37" s="4">
        <v>3.67</v>
      </c>
      <c r="AA37" s="4">
        <v>25</v>
      </c>
      <c r="AB37" s="4">
        <v>2.64</v>
      </c>
      <c r="AC37" s="4">
        <v>0.15</v>
      </c>
      <c r="AD37" s="4">
        <v>5</v>
      </c>
      <c r="AE37" s="4">
        <v>1</v>
      </c>
      <c r="AF37" s="4" t="s">
        <v>108</v>
      </c>
      <c r="AG37" s="4" t="s">
        <v>63</v>
      </c>
      <c r="AH37" s="4">
        <v>0</v>
      </c>
      <c r="AI37" s="4">
        <v>0</v>
      </c>
      <c r="AJ37" s="4">
        <v>0</v>
      </c>
      <c r="AK37" s="4">
        <v>0</v>
      </c>
      <c r="AL37" s="4" t="s">
        <v>60</v>
      </c>
      <c r="AM37" s="4">
        <v>0.5</v>
      </c>
      <c r="AN37" s="4">
        <v>0.2</v>
      </c>
      <c r="AO37" s="4">
        <v>32.97</v>
      </c>
      <c r="AP37" s="4">
        <v>0.73</v>
      </c>
      <c r="AQ37" s="4">
        <v>0</v>
      </c>
      <c r="AR37" s="4"/>
      <c r="AS37" s="4" t="s">
        <v>59</v>
      </c>
      <c r="AT37" s="4"/>
      <c r="AU37" s="4" t="s">
        <v>61</v>
      </c>
      <c r="AV37" s="4"/>
      <c r="AW37" s="4">
        <v>5.58</v>
      </c>
      <c r="AX37" s="4">
        <v>2.14</v>
      </c>
      <c r="AY37" s="4">
        <v>1.8</v>
      </c>
      <c r="AZ37" s="4" t="s">
        <v>62</v>
      </c>
      <c r="BA37" s="4" t="s">
        <v>252</v>
      </c>
      <c r="BB37" s="4"/>
      <c r="BC37" s="4">
        <v>8.7349069944523017E-2</v>
      </c>
      <c r="BD37" s="4" t="s">
        <v>110</v>
      </c>
      <c r="BE37" s="4">
        <v>2.880000114440918</v>
      </c>
      <c r="BF37" s="4"/>
      <c r="BG37" s="4"/>
      <c r="BH37" s="4"/>
      <c r="BJ37" s="4"/>
      <c r="BK37" s="4"/>
      <c r="BL37" s="4"/>
    </row>
    <row r="38" spans="1:64" x14ac:dyDescent="0.25">
      <c r="A38" s="2" t="str">
        <f t="shared" si="0"/>
        <v>P46 Production Wellhead2</v>
      </c>
      <c r="B38" s="4" t="s">
        <v>253</v>
      </c>
      <c r="C38" s="4">
        <v>2</v>
      </c>
      <c r="D38" s="4" t="s">
        <v>133</v>
      </c>
      <c r="E38" s="4" t="s">
        <v>59</v>
      </c>
      <c r="F38" s="4" t="s">
        <v>196</v>
      </c>
      <c r="G38" s="4" t="s">
        <v>64</v>
      </c>
      <c r="H38" s="4" t="s">
        <v>254</v>
      </c>
      <c r="I38" s="4">
        <v>50</v>
      </c>
      <c r="J38" s="4">
        <v>60.3</v>
      </c>
      <c r="K38" s="4">
        <v>10.3</v>
      </c>
      <c r="L38" s="4">
        <v>8</v>
      </c>
      <c r="M38" s="4">
        <v>2.2999999999999998</v>
      </c>
      <c r="N38" s="4">
        <v>22.33</v>
      </c>
      <c r="O38" s="4" t="s">
        <v>255</v>
      </c>
      <c r="P38" s="4">
        <v>2.14</v>
      </c>
      <c r="Q38" s="4">
        <v>0.09</v>
      </c>
      <c r="R38" s="4"/>
      <c r="S38" s="4">
        <v>2</v>
      </c>
      <c r="T38" s="4">
        <v>1</v>
      </c>
      <c r="U38" s="4" t="s">
        <v>107</v>
      </c>
      <c r="V38" s="4" t="s">
        <v>65</v>
      </c>
      <c r="W38" s="4" t="s">
        <v>66</v>
      </c>
      <c r="X38" s="4">
        <v>64.180000000000007</v>
      </c>
      <c r="Y38" s="4">
        <v>2.93</v>
      </c>
      <c r="Z38" s="4">
        <v>3.77</v>
      </c>
      <c r="AA38" s="4">
        <v>25</v>
      </c>
      <c r="AB38" s="4">
        <v>2.57</v>
      </c>
      <c r="AC38" s="4">
        <v>0.15</v>
      </c>
      <c r="AD38" s="4">
        <v>5</v>
      </c>
      <c r="AE38" s="4">
        <v>1</v>
      </c>
      <c r="AF38" s="4" t="s">
        <v>108</v>
      </c>
      <c r="AG38" s="4" t="s">
        <v>63</v>
      </c>
      <c r="AH38" s="4">
        <v>0</v>
      </c>
      <c r="AI38" s="4">
        <v>0</v>
      </c>
      <c r="AJ38" s="4">
        <v>0</v>
      </c>
      <c r="AK38" s="4">
        <v>0</v>
      </c>
      <c r="AL38" s="4" t="s">
        <v>60</v>
      </c>
      <c r="AM38" s="4">
        <v>0.5</v>
      </c>
      <c r="AN38" s="4">
        <v>0.2</v>
      </c>
      <c r="AO38" s="4">
        <v>32.090000000000003</v>
      </c>
      <c r="AP38" s="4">
        <v>0.75</v>
      </c>
      <c r="AQ38" s="4">
        <v>0</v>
      </c>
      <c r="AR38" s="4"/>
      <c r="AS38" s="4" t="s">
        <v>59</v>
      </c>
      <c r="AT38" s="4"/>
      <c r="AU38" s="4" t="s">
        <v>61</v>
      </c>
      <c r="AV38" s="4"/>
      <c r="AW38" s="4">
        <v>5.58</v>
      </c>
      <c r="AX38" s="4">
        <v>2.14</v>
      </c>
      <c r="AY38" s="4">
        <v>1.8</v>
      </c>
      <c r="AZ38" s="4" t="s">
        <v>62</v>
      </c>
      <c r="BA38" s="4" t="s">
        <v>182</v>
      </c>
      <c r="BB38" s="4"/>
      <c r="BC38" s="4">
        <v>9.1309549706330206E-2</v>
      </c>
      <c r="BD38" s="4" t="s">
        <v>110</v>
      </c>
      <c r="BE38" s="4">
        <v>2.9300000667572021</v>
      </c>
      <c r="BF38" s="4"/>
      <c r="BG38" s="4"/>
      <c r="BH38" s="4"/>
      <c r="BJ38" s="4"/>
      <c r="BK38" s="4"/>
      <c r="BL38" s="4"/>
    </row>
    <row r="39" spans="1:64" x14ac:dyDescent="0.25">
      <c r="A39" s="2" t="str">
        <f t="shared" si="0"/>
        <v>P66 Production Wellhead2</v>
      </c>
      <c r="B39" s="4" t="s">
        <v>256</v>
      </c>
      <c r="C39" s="4">
        <v>2</v>
      </c>
      <c r="D39" s="4" t="s">
        <v>133</v>
      </c>
      <c r="E39" s="4" t="s">
        <v>59</v>
      </c>
      <c r="F39" s="4" t="s">
        <v>196</v>
      </c>
      <c r="G39" s="4" t="s">
        <v>64</v>
      </c>
      <c r="H39" s="4" t="s">
        <v>232</v>
      </c>
      <c r="I39" s="4">
        <v>50</v>
      </c>
      <c r="J39" s="4">
        <v>60.3</v>
      </c>
      <c r="K39" s="4">
        <v>10.7</v>
      </c>
      <c r="L39" s="4">
        <v>8.5</v>
      </c>
      <c r="M39" s="4">
        <v>2.2000000000000002</v>
      </c>
      <c r="N39" s="4">
        <v>20.56</v>
      </c>
      <c r="O39" s="4" t="s">
        <v>257</v>
      </c>
      <c r="P39" s="4">
        <v>2.14</v>
      </c>
      <c r="Q39" s="4">
        <v>0.08</v>
      </c>
      <c r="R39" s="4"/>
      <c r="S39" s="4">
        <v>2</v>
      </c>
      <c r="T39" s="4">
        <v>1</v>
      </c>
      <c r="U39" s="4" t="s">
        <v>107</v>
      </c>
      <c r="V39" s="4" t="s">
        <v>65</v>
      </c>
      <c r="W39" s="4" t="s">
        <v>66</v>
      </c>
      <c r="X39" s="4">
        <v>72.84</v>
      </c>
      <c r="Y39" s="4">
        <v>3.18</v>
      </c>
      <c r="Z39" s="4">
        <v>4.28</v>
      </c>
      <c r="AA39" s="4">
        <v>25</v>
      </c>
      <c r="AB39" s="4">
        <v>2.91</v>
      </c>
      <c r="AC39" s="4">
        <v>0.17</v>
      </c>
      <c r="AD39" s="4">
        <v>5</v>
      </c>
      <c r="AE39" s="4">
        <v>1</v>
      </c>
      <c r="AF39" s="4" t="s">
        <v>108</v>
      </c>
      <c r="AG39" s="4" t="s">
        <v>63</v>
      </c>
      <c r="AH39" s="4">
        <v>0</v>
      </c>
      <c r="AI39" s="4">
        <v>0</v>
      </c>
      <c r="AJ39" s="4">
        <v>0</v>
      </c>
      <c r="AK39" s="4">
        <v>0</v>
      </c>
      <c r="AL39" s="4" t="s">
        <v>60</v>
      </c>
      <c r="AM39" s="4">
        <v>0.5</v>
      </c>
      <c r="AN39" s="4">
        <v>0.2</v>
      </c>
      <c r="AO39" s="4">
        <v>36.42</v>
      </c>
      <c r="AP39" s="4">
        <v>0.86</v>
      </c>
      <c r="AQ39" s="4">
        <v>0</v>
      </c>
      <c r="AR39" s="4"/>
      <c r="AS39" s="4" t="s">
        <v>59</v>
      </c>
      <c r="AT39" s="4"/>
      <c r="AU39" s="4" t="s">
        <v>61</v>
      </c>
      <c r="AV39" s="4"/>
      <c r="AW39" s="4">
        <v>5.58</v>
      </c>
      <c r="AX39" s="4">
        <v>2.14</v>
      </c>
      <c r="AY39" s="4">
        <v>1.8</v>
      </c>
      <c r="AZ39" s="4" t="s">
        <v>62</v>
      </c>
      <c r="BA39" s="4" t="s">
        <v>230</v>
      </c>
      <c r="BB39" s="4"/>
      <c r="BC39" s="4">
        <v>8.731107969990215E-2</v>
      </c>
      <c r="BD39" s="4" t="s">
        <v>110</v>
      </c>
      <c r="BE39" s="4">
        <v>3.1800000667572021</v>
      </c>
      <c r="BF39" s="4"/>
      <c r="BG39" s="4"/>
      <c r="BH39" s="4"/>
      <c r="BJ39" s="4"/>
      <c r="BK39" s="4"/>
      <c r="BL39" s="4"/>
    </row>
    <row r="40" spans="1:64" x14ac:dyDescent="0.25">
      <c r="A40" s="2" t="str">
        <f t="shared" si="0"/>
        <v>P71A Production Wellhead1</v>
      </c>
      <c r="B40" s="4" t="s">
        <v>258</v>
      </c>
      <c r="C40" s="4">
        <v>1</v>
      </c>
      <c r="D40" s="4" t="s">
        <v>103</v>
      </c>
      <c r="E40" s="4" t="s">
        <v>59</v>
      </c>
      <c r="F40" s="4" t="s">
        <v>170</v>
      </c>
      <c r="G40" s="4" t="s">
        <v>64</v>
      </c>
      <c r="H40" s="4" t="s">
        <v>259</v>
      </c>
      <c r="I40" s="4">
        <v>50</v>
      </c>
      <c r="J40" s="4">
        <v>60.3</v>
      </c>
      <c r="K40" s="4">
        <v>10.4</v>
      </c>
      <c r="L40" s="4">
        <v>8</v>
      </c>
      <c r="M40" s="4">
        <v>2.4</v>
      </c>
      <c r="N40" s="4">
        <v>23.07</v>
      </c>
      <c r="O40" s="4" t="s">
        <v>260</v>
      </c>
      <c r="P40" s="4">
        <v>2.14</v>
      </c>
      <c r="Q40" s="4">
        <v>0.09</v>
      </c>
      <c r="R40" s="4"/>
      <c r="S40" s="4">
        <v>2</v>
      </c>
      <c r="T40" s="4">
        <v>1</v>
      </c>
      <c r="U40" s="4" t="s">
        <v>107</v>
      </c>
      <c r="V40" s="4" t="s">
        <v>65</v>
      </c>
      <c r="W40" s="4" t="s">
        <v>66</v>
      </c>
      <c r="X40" s="4">
        <v>62.13</v>
      </c>
      <c r="Y40" s="4">
        <v>2.93</v>
      </c>
      <c r="Z40" s="4">
        <v>4.03</v>
      </c>
      <c r="AA40" s="4">
        <v>25</v>
      </c>
      <c r="AB40" s="4">
        <v>2.4900000000000002</v>
      </c>
      <c r="AC40" s="4">
        <v>0.16</v>
      </c>
      <c r="AD40" s="4">
        <v>5</v>
      </c>
      <c r="AE40" s="4">
        <v>1</v>
      </c>
      <c r="AF40" s="4" t="s">
        <v>108</v>
      </c>
      <c r="AG40" s="4" t="s">
        <v>63</v>
      </c>
      <c r="AH40" s="4">
        <v>0</v>
      </c>
      <c r="AI40" s="4">
        <v>0</v>
      </c>
      <c r="AJ40" s="4">
        <v>0</v>
      </c>
      <c r="AK40" s="4">
        <v>0</v>
      </c>
      <c r="AL40" s="4" t="s">
        <v>60</v>
      </c>
      <c r="AM40" s="4">
        <v>0.5</v>
      </c>
      <c r="AN40" s="4">
        <v>0.2</v>
      </c>
      <c r="AO40" s="4">
        <v>31.07</v>
      </c>
      <c r="AP40" s="4">
        <v>0.81</v>
      </c>
      <c r="AQ40" s="4">
        <v>0</v>
      </c>
      <c r="AR40" s="4"/>
      <c r="AS40" s="4" t="s">
        <v>59</v>
      </c>
      <c r="AT40" s="4"/>
      <c r="AU40" s="4" t="s">
        <v>61</v>
      </c>
      <c r="AV40" s="4"/>
      <c r="AW40" s="4">
        <v>5.58</v>
      </c>
      <c r="AX40" s="4">
        <v>2.14</v>
      </c>
      <c r="AY40" s="4">
        <v>1.8</v>
      </c>
      <c r="AZ40" s="4" t="s">
        <v>62</v>
      </c>
      <c r="BA40" s="4" t="s">
        <v>261</v>
      </c>
      <c r="BB40" s="4"/>
      <c r="BC40" s="4">
        <v>9.4325401098309461E-2</v>
      </c>
      <c r="BD40" s="4" t="s">
        <v>110</v>
      </c>
      <c r="BE40" s="4">
        <v>2.9300000667572021</v>
      </c>
      <c r="BF40" s="4"/>
      <c r="BG40" s="4"/>
      <c r="BH40" s="4"/>
      <c r="BJ40" s="4"/>
      <c r="BK40" s="4"/>
      <c r="BL40" s="4"/>
    </row>
    <row r="41" spans="1:64" x14ac:dyDescent="0.25">
      <c r="A41" s="2" t="str">
        <f t="shared" si="0"/>
        <v>P71A Production Wellhead2</v>
      </c>
      <c r="B41" s="4" t="s">
        <v>258</v>
      </c>
      <c r="C41" s="4">
        <v>2</v>
      </c>
      <c r="D41" s="4" t="s">
        <v>122</v>
      </c>
      <c r="E41" s="4" t="s">
        <v>59</v>
      </c>
      <c r="F41" s="4" t="s">
        <v>170</v>
      </c>
      <c r="G41" s="4" t="s">
        <v>64</v>
      </c>
      <c r="H41" s="4" t="s">
        <v>259</v>
      </c>
      <c r="I41" s="4">
        <v>50</v>
      </c>
      <c r="J41" s="4">
        <v>60.3</v>
      </c>
      <c r="K41" s="4">
        <v>10.8</v>
      </c>
      <c r="L41" s="4">
        <v>8.4</v>
      </c>
      <c r="M41" s="4">
        <v>2.4</v>
      </c>
      <c r="N41" s="4">
        <v>22.22</v>
      </c>
      <c r="O41" s="4" t="s">
        <v>262</v>
      </c>
      <c r="P41" s="4">
        <v>2.14</v>
      </c>
      <c r="Q41" s="4">
        <v>0.09</v>
      </c>
      <c r="R41" s="4"/>
      <c r="S41" s="4">
        <v>2</v>
      </c>
      <c r="T41" s="4">
        <v>1</v>
      </c>
      <c r="U41" s="4" t="s">
        <v>107</v>
      </c>
      <c r="V41" s="4" t="s">
        <v>65</v>
      </c>
      <c r="W41" s="4" t="s">
        <v>66</v>
      </c>
      <c r="X41" s="4">
        <v>66.37</v>
      </c>
      <c r="Y41" s="4">
        <v>3.13</v>
      </c>
      <c r="Z41" s="4">
        <v>4.43</v>
      </c>
      <c r="AA41" s="4">
        <v>25</v>
      </c>
      <c r="AB41" s="4">
        <v>2.65</v>
      </c>
      <c r="AC41" s="4">
        <v>0.18</v>
      </c>
      <c r="AD41" s="4">
        <v>5</v>
      </c>
      <c r="AE41" s="4">
        <v>1</v>
      </c>
      <c r="AF41" s="4" t="s">
        <v>108</v>
      </c>
      <c r="AG41" s="4" t="s">
        <v>63</v>
      </c>
      <c r="AH41" s="4">
        <v>0</v>
      </c>
      <c r="AI41" s="4">
        <v>0</v>
      </c>
      <c r="AJ41" s="4">
        <v>0</v>
      </c>
      <c r="AK41" s="4">
        <v>0</v>
      </c>
      <c r="AL41" s="4" t="s">
        <v>60</v>
      </c>
      <c r="AM41" s="4">
        <v>0.5</v>
      </c>
      <c r="AN41" s="4">
        <v>0.2</v>
      </c>
      <c r="AO41" s="4">
        <v>33.19</v>
      </c>
      <c r="AP41" s="4">
        <v>0.89</v>
      </c>
      <c r="AQ41" s="4">
        <v>0</v>
      </c>
      <c r="AR41" s="4"/>
      <c r="AS41" s="4" t="s">
        <v>59</v>
      </c>
      <c r="AT41" s="4"/>
      <c r="AU41" s="4" t="s">
        <v>61</v>
      </c>
      <c r="AV41" s="4"/>
      <c r="AW41" s="4">
        <v>5.58</v>
      </c>
      <c r="AX41" s="4">
        <v>2.14</v>
      </c>
      <c r="AY41" s="4">
        <v>1.8</v>
      </c>
      <c r="AZ41" s="4" t="s">
        <v>62</v>
      </c>
      <c r="BA41" s="4" t="s">
        <v>263</v>
      </c>
      <c r="BB41" s="4"/>
      <c r="BC41" s="4">
        <v>9.4325401098309461E-2</v>
      </c>
      <c r="BD41" s="4" t="s">
        <v>110</v>
      </c>
      <c r="BE41" s="4">
        <v>3.130000114440918</v>
      </c>
      <c r="BF41" s="4"/>
      <c r="BG41" s="4"/>
      <c r="BH41" s="4"/>
      <c r="BJ41" s="4"/>
      <c r="BK41" s="4"/>
      <c r="BL41" s="4"/>
    </row>
    <row r="42" spans="1:64" x14ac:dyDescent="0.25">
      <c r="A42" s="2" t="str">
        <f t="shared" si="0"/>
        <v>P81 Production Wellhead2</v>
      </c>
      <c r="B42" s="4" t="s">
        <v>264</v>
      </c>
      <c r="C42" s="4">
        <v>2</v>
      </c>
      <c r="D42" s="4" t="s">
        <v>133</v>
      </c>
      <c r="E42" s="4" t="s">
        <v>59</v>
      </c>
      <c r="F42" s="4" t="s">
        <v>196</v>
      </c>
      <c r="G42" s="4" t="s">
        <v>64</v>
      </c>
      <c r="H42" s="4" t="s">
        <v>265</v>
      </c>
      <c r="I42" s="4">
        <v>50</v>
      </c>
      <c r="J42" s="4">
        <v>60.3</v>
      </c>
      <c r="K42" s="4">
        <v>10.5</v>
      </c>
      <c r="L42" s="4">
        <v>8.5</v>
      </c>
      <c r="M42" s="4">
        <v>2</v>
      </c>
      <c r="N42" s="4">
        <v>19.04</v>
      </c>
      <c r="O42" s="4" t="s">
        <v>266</v>
      </c>
      <c r="P42" s="4">
        <v>2.14</v>
      </c>
      <c r="Q42" s="4">
        <v>7.0000000000000007E-2</v>
      </c>
      <c r="R42" s="4"/>
      <c r="S42" s="4">
        <v>2</v>
      </c>
      <c r="T42" s="4">
        <v>1</v>
      </c>
      <c r="U42" s="4" t="s">
        <v>107</v>
      </c>
      <c r="V42" s="4" t="s">
        <v>65</v>
      </c>
      <c r="W42" s="4" t="s">
        <v>66</v>
      </c>
      <c r="X42" s="4">
        <v>80.11</v>
      </c>
      <c r="Y42" s="4">
        <v>3.18</v>
      </c>
      <c r="Z42" s="4">
        <v>4.28</v>
      </c>
      <c r="AA42" s="4">
        <v>25</v>
      </c>
      <c r="AB42" s="4">
        <v>3.2</v>
      </c>
      <c r="AC42" s="4">
        <v>0.17</v>
      </c>
      <c r="AD42" s="4">
        <v>5</v>
      </c>
      <c r="AE42" s="4">
        <v>1</v>
      </c>
      <c r="AF42" s="4" t="s">
        <v>108</v>
      </c>
      <c r="AG42" s="4" t="s">
        <v>63</v>
      </c>
      <c r="AH42" s="4">
        <v>0</v>
      </c>
      <c r="AI42" s="4">
        <v>0</v>
      </c>
      <c r="AJ42" s="4">
        <v>0</v>
      </c>
      <c r="AK42" s="4">
        <v>0</v>
      </c>
      <c r="AL42" s="4" t="s">
        <v>60</v>
      </c>
      <c r="AM42" s="4">
        <v>0.5</v>
      </c>
      <c r="AN42" s="4">
        <v>0.2</v>
      </c>
      <c r="AO42" s="4">
        <v>40.049999999999997</v>
      </c>
      <c r="AP42" s="4">
        <v>0.86</v>
      </c>
      <c r="AQ42" s="4">
        <v>0</v>
      </c>
      <c r="AR42" s="4"/>
      <c r="AS42" s="4" t="s">
        <v>59</v>
      </c>
      <c r="AT42" s="4"/>
      <c r="AU42" s="4" t="s">
        <v>61</v>
      </c>
      <c r="AV42" s="4"/>
      <c r="AW42" s="4">
        <v>5.58</v>
      </c>
      <c r="AX42" s="4">
        <v>2.14</v>
      </c>
      <c r="AY42" s="4">
        <v>1.8</v>
      </c>
      <c r="AZ42" s="4" t="s">
        <v>62</v>
      </c>
      <c r="BA42" s="4" t="s">
        <v>230</v>
      </c>
      <c r="BB42" s="4"/>
      <c r="BC42" s="4">
        <v>7.9390973355084285E-2</v>
      </c>
      <c r="BD42" s="4" t="s">
        <v>110</v>
      </c>
      <c r="BE42" s="4">
        <v>3.1800000667572021</v>
      </c>
      <c r="BF42" s="4"/>
      <c r="BG42" s="4"/>
      <c r="BH42" s="4"/>
      <c r="BJ42" s="4"/>
      <c r="BK42" s="4"/>
      <c r="BL42" s="4"/>
    </row>
    <row r="43" spans="1:64" x14ac:dyDescent="0.25">
      <c r="A43" s="2" t="str">
        <f t="shared" si="0"/>
        <v>P86 Production Wellhead2</v>
      </c>
      <c r="B43" s="4" t="s">
        <v>267</v>
      </c>
      <c r="C43" s="4">
        <v>2</v>
      </c>
      <c r="D43" s="4" t="s">
        <v>138</v>
      </c>
      <c r="E43" s="4" t="s">
        <v>59</v>
      </c>
      <c r="F43" s="4" t="s">
        <v>217</v>
      </c>
      <c r="G43" s="4" t="s">
        <v>64</v>
      </c>
      <c r="H43" s="4" t="s">
        <v>265</v>
      </c>
      <c r="I43" s="4">
        <v>50</v>
      </c>
      <c r="J43" s="4">
        <v>60.3</v>
      </c>
      <c r="K43" s="4">
        <v>10.3</v>
      </c>
      <c r="L43" s="4">
        <v>8.1</v>
      </c>
      <c r="M43" s="4">
        <v>2.2000000000000002</v>
      </c>
      <c r="N43" s="4">
        <v>21.35</v>
      </c>
      <c r="O43" s="4" t="s">
        <v>268</v>
      </c>
      <c r="P43" s="4">
        <v>2.14</v>
      </c>
      <c r="Q43" s="4">
        <v>0.08</v>
      </c>
      <c r="R43" s="4"/>
      <c r="S43" s="4">
        <v>2</v>
      </c>
      <c r="T43" s="4">
        <v>1</v>
      </c>
      <c r="U43" s="4" t="s">
        <v>107</v>
      </c>
      <c r="V43" s="4" t="s">
        <v>65</v>
      </c>
      <c r="W43" s="4" t="s">
        <v>66</v>
      </c>
      <c r="X43" s="4">
        <v>68.25</v>
      </c>
      <c r="Y43" s="4">
        <v>2.98</v>
      </c>
      <c r="Z43" s="4">
        <v>3.88</v>
      </c>
      <c r="AA43" s="4">
        <v>25</v>
      </c>
      <c r="AB43" s="4">
        <v>2.73</v>
      </c>
      <c r="AC43" s="4">
        <v>0.16</v>
      </c>
      <c r="AD43" s="4">
        <v>5</v>
      </c>
      <c r="AE43" s="4">
        <v>1</v>
      </c>
      <c r="AF43" s="4" t="s">
        <v>108</v>
      </c>
      <c r="AG43" s="4" t="s">
        <v>63</v>
      </c>
      <c r="AH43" s="4">
        <v>0</v>
      </c>
      <c r="AI43" s="4">
        <v>0</v>
      </c>
      <c r="AJ43" s="4">
        <v>0</v>
      </c>
      <c r="AK43" s="4">
        <v>0</v>
      </c>
      <c r="AL43" s="4" t="s">
        <v>60</v>
      </c>
      <c r="AM43" s="4">
        <v>0.5</v>
      </c>
      <c r="AN43" s="4">
        <v>0.2</v>
      </c>
      <c r="AO43" s="4">
        <v>34.119999999999997</v>
      </c>
      <c r="AP43" s="4">
        <v>0.78</v>
      </c>
      <c r="AQ43" s="4">
        <v>0</v>
      </c>
      <c r="AR43" s="4"/>
      <c r="AS43" s="4" t="s">
        <v>59</v>
      </c>
      <c r="AT43" s="4"/>
      <c r="AU43" s="4" t="s">
        <v>61</v>
      </c>
      <c r="AV43" s="4"/>
      <c r="AW43" s="4">
        <v>5.58</v>
      </c>
      <c r="AX43" s="4">
        <v>2.14</v>
      </c>
      <c r="AY43" s="4">
        <v>1.8</v>
      </c>
      <c r="AZ43" s="4" t="s">
        <v>62</v>
      </c>
      <c r="BA43" s="4" t="s">
        <v>269</v>
      </c>
      <c r="BB43" s="4"/>
      <c r="BC43" s="4">
        <v>8.7330070690592718E-2</v>
      </c>
      <c r="BD43" s="4" t="s">
        <v>110</v>
      </c>
      <c r="BE43" s="4">
        <v>2.9800000190734863</v>
      </c>
      <c r="BF43" s="4"/>
      <c r="BG43" s="4"/>
      <c r="BH43" s="4"/>
      <c r="BJ43" s="4"/>
      <c r="BK43" s="4"/>
      <c r="BL43" s="4"/>
    </row>
    <row r="44" spans="1:64" x14ac:dyDescent="0.25">
      <c r="A44" s="2" t="str">
        <f t="shared" si="0"/>
        <v>Q45 Production Wellhead1</v>
      </c>
      <c r="B44" s="4" t="s">
        <v>270</v>
      </c>
      <c r="C44" s="4">
        <v>1</v>
      </c>
      <c r="D44" s="4" t="s">
        <v>103</v>
      </c>
      <c r="E44" s="4" t="s">
        <v>59</v>
      </c>
      <c r="F44" s="4" t="s">
        <v>271</v>
      </c>
      <c r="G44" s="4" t="s">
        <v>64</v>
      </c>
      <c r="H44" s="4" t="s">
        <v>272</v>
      </c>
      <c r="I44" s="4">
        <v>50</v>
      </c>
      <c r="J44" s="4">
        <v>60.3</v>
      </c>
      <c r="K44" s="4">
        <v>11.6</v>
      </c>
      <c r="L44" s="4">
        <v>9.3000000000000007</v>
      </c>
      <c r="M44" s="4">
        <v>2.2999999999999998</v>
      </c>
      <c r="N44" s="4">
        <v>19.82</v>
      </c>
      <c r="O44" s="4" t="s">
        <v>273</v>
      </c>
      <c r="P44" s="4">
        <v>2.14</v>
      </c>
      <c r="Q44" s="4">
        <v>0.09</v>
      </c>
      <c r="R44" s="4"/>
      <c r="S44" s="4">
        <v>2</v>
      </c>
      <c r="T44" s="4">
        <v>1</v>
      </c>
      <c r="U44" s="4" t="s">
        <v>107</v>
      </c>
      <c r="V44" s="4" t="s">
        <v>65</v>
      </c>
      <c r="W44" s="4" t="s">
        <v>66</v>
      </c>
      <c r="X44" s="4">
        <v>78.349999999999994</v>
      </c>
      <c r="Y44" s="4">
        <v>3.58</v>
      </c>
      <c r="Z44" s="4">
        <v>5.05</v>
      </c>
      <c r="AA44" s="4">
        <v>25</v>
      </c>
      <c r="AB44" s="4">
        <v>3.13</v>
      </c>
      <c r="AC44" s="4">
        <v>0.2</v>
      </c>
      <c r="AD44" s="4">
        <v>5</v>
      </c>
      <c r="AE44" s="4">
        <v>1</v>
      </c>
      <c r="AF44" s="4" t="s">
        <v>108</v>
      </c>
      <c r="AG44" s="4" t="s">
        <v>63</v>
      </c>
      <c r="AH44" s="4">
        <v>0</v>
      </c>
      <c r="AI44" s="4">
        <v>0</v>
      </c>
      <c r="AJ44" s="4">
        <v>0</v>
      </c>
      <c r="AK44" s="4">
        <v>0</v>
      </c>
      <c r="AL44" s="4" t="s">
        <v>60</v>
      </c>
      <c r="AM44" s="4">
        <v>0.5</v>
      </c>
      <c r="AN44" s="4">
        <v>0.2</v>
      </c>
      <c r="AO44" s="4">
        <v>39.17</v>
      </c>
      <c r="AP44" s="4">
        <v>1.01</v>
      </c>
      <c r="AQ44" s="4">
        <v>0</v>
      </c>
      <c r="AR44" s="4"/>
      <c r="AS44" s="4" t="s">
        <v>59</v>
      </c>
      <c r="AT44" s="4"/>
      <c r="AU44" s="4" t="s">
        <v>61</v>
      </c>
      <c r="AV44" s="4"/>
      <c r="AW44" s="4">
        <v>5.58</v>
      </c>
      <c r="AX44" s="4">
        <v>2.14</v>
      </c>
      <c r="AY44" s="4">
        <v>1.8</v>
      </c>
      <c r="AZ44" s="4" t="s">
        <v>62</v>
      </c>
      <c r="BA44" s="4" t="s">
        <v>274</v>
      </c>
      <c r="BB44" s="4"/>
      <c r="BC44" s="4">
        <v>9.1379122673342764E-2</v>
      </c>
      <c r="BD44" s="4" t="s">
        <v>110</v>
      </c>
      <c r="BE44" s="4">
        <v>3.5799999237060547</v>
      </c>
      <c r="BF44" s="4"/>
      <c r="BG44" s="4"/>
      <c r="BH44" s="4"/>
      <c r="BJ44" s="4"/>
      <c r="BK44" s="4"/>
      <c r="BL44" s="4"/>
    </row>
    <row r="45" spans="1:64" x14ac:dyDescent="0.25">
      <c r="A45" s="2" t="str">
        <f t="shared" si="0"/>
        <v>Q52A Production Wellhead2</v>
      </c>
      <c r="B45" s="4" t="s">
        <v>275</v>
      </c>
      <c r="C45" s="4">
        <v>2</v>
      </c>
      <c r="D45" s="4" t="s">
        <v>133</v>
      </c>
      <c r="E45" s="4" t="s">
        <v>59</v>
      </c>
      <c r="F45" s="4" t="s">
        <v>196</v>
      </c>
      <c r="G45" s="4" t="s">
        <v>64</v>
      </c>
      <c r="H45" s="4" t="s">
        <v>197</v>
      </c>
      <c r="I45" s="4">
        <v>50</v>
      </c>
      <c r="J45" s="4">
        <v>60.3</v>
      </c>
      <c r="K45" s="4">
        <v>11.07</v>
      </c>
      <c r="L45" s="4">
        <v>8.8000000000000007</v>
      </c>
      <c r="M45" s="4">
        <v>2.27</v>
      </c>
      <c r="N45" s="4">
        <v>20.5</v>
      </c>
      <c r="O45" s="4" t="s">
        <v>276</v>
      </c>
      <c r="P45" s="4">
        <v>2.14</v>
      </c>
      <c r="Q45" s="4">
        <v>0.09</v>
      </c>
      <c r="R45" s="4"/>
      <c r="S45" s="4">
        <v>2</v>
      </c>
      <c r="T45" s="4">
        <v>1</v>
      </c>
      <c r="U45" s="4" t="s">
        <v>107</v>
      </c>
      <c r="V45" s="4" t="s">
        <v>65</v>
      </c>
      <c r="W45" s="4" t="s">
        <v>66</v>
      </c>
      <c r="X45" s="4">
        <v>73.989999999999995</v>
      </c>
      <c r="Y45" s="4">
        <v>3.33</v>
      </c>
      <c r="Z45" s="4">
        <v>4.5999999999999996</v>
      </c>
      <c r="AA45" s="4">
        <v>25</v>
      </c>
      <c r="AB45" s="4">
        <v>2.96</v>
      </c>
      <c r="AC45" s="4">
        <v>0.18</v>
      </c>
      <c r="AD45" s="4">
        <v>5</v>
      </c>
      <c r="AE45" s="4">
        <v>1</v>
      </c>
      <c r="AF45" s="4" t="s">
        <v>108</v>
      </c>
      <c r="AG45" s="4" t="s">
        <v>63</v>
      </c>
      <c r="AH45" s="4">
        <v>0</v>
      </c>
      <c r="AI45" s="4">
        <v>0</v>
      </c>
      <c r="AJ45" s="4">
        <v>0</v>
      </c>
      <c r="AK45" s="4">
        <v>0</v>
      </c>
      <c r="AL45" s="4" t="s">
        <v>60</v>
      </c>
      <c r="AM45" s="4">
        <v>0.5</v>
      </c>
      <c r="AN45" s="4">
        <v>0.2</v>
      </c>
      <c r="AO45" s="4">
        <v>36.99</v>
      </c>
      <c r="AP45" s="4">
        <v>0.92</v>
      </c>
      <c r="AQ45" s="4">
        <v>0</v>
      </c>
      <c r="AR45" s="4"/>
      <c r="AS45" s="4" t="s">
        <v>59</v>
      </c>
      <c r="AT45" s="4"/>
      <c r="AU45" s="4" t="s">
        <v>61</v>
      </c>
      <c r="AV45" s="4"/>
      <c r="AW45" s="4">
        <v>5.58</v>
      </c>
      <c r="AX45" s="4">
        <v>2.14</v>
      </c>
      <c r="AY45" s="4">
        <v>1.8</v>
      </c>
      <c r="AZ45" s="4" t="s">
        <v>62</v>
      </c>
      <c r="BA45" s="4" t="s">
        <v>277</v>
      </c>
      <c r="BB45" s="4"/>
      <c r="BC45" s="4">
        <v>9.0010863661053778E-2</v>
      </c>
      <c r="BD45" s="4" t="s">
        <v>110</v>
      </c>
      <c r="BE45" s="4">
        <v>3.3299999237060547</v>
      </c>
      <c r="BF45" s="4"/>
      <c r="BG45" s="4"/>
      <c r="BH45" s="4"/>
      <c r="BJ45" s="4"/>
      <c r="BK45" s="4"/>
      <c r="BL45" s="4"/>
    </row>
    <row r="46" spans="1:64" x14ac:dyDescent="0.25">
      <c r="A46" s="2" t="str">
        <f t="shared" si="0"/>
        <v>Q78 Production Wellhead2</v>
      </c>
      <c r="B46" s="4" t="s">
        <v>278</v>
      </c>
      <c r="C46" s="4">
        <v>2</v>
      </c>
      <c r="D46" s="4" t="s">
        <v>133</v>
      </c>
      <c r="E46" s="4" t="s">
        <v>59</v>
      </c>
      <c r="F46" s="4" t="s">
        <v>196</v>
      </c>
      <c r="G46" s="4" t="s">
        <v>64</v>
      </c>
      <c r="H46" s="4" t="s">
        <v>279</v>
      </c>
      <c r="I46" s="4">
        <v>50</v>
      </c>
      <c r="J46" s="4">
        <v>60.3</v>
      </c>
      <c r="K46" s="4">
        <v>10.6</v>
      </c>
      <c r="L46" s="4">
        <v>8</v>
      </c>
      <c r="M46" s="4">
        <v>2.6</v>
      </c>
      <c r="N46" s="4">
        <v>24.52</v>
      </c>
      <c r="O46" s="4" t="s">
        <v>280</v>
      </c>
      <c r="P46" s="4">
        <v>2.14</v>
      </c>
      <c r="Q46" s="4">
        <v>0.1</v>
      </c>
      <c r="R46" s="4"/>
      <c r="S46" s="4">
        <v>2</v>
      </c>
      <c r="T46" s="4">
        <v>1</v>
      </c>
      <c r="U46" s="4" t="s">
        <v>107</v>
      </c>
      <c r="V46" s="4" t="s">
        <v>65</v>
      </c>
      <c r="W46" s="4" t="s">
        <v>66</v>
      </c>
      <c r="X46" s="4">
        <v>56.81</v>
      </c>
      <c r="Y46" s="4">
        <v>2.93</v>
      </c>
      <c r="Z46" s="4">
        <v>3.79</v>
      </c>
      <c r="AA46" s="4">
        <v>25</v>
      </c>
      <c r="AB46" s="4">
        <v>2.27</v>
      </c>
      <c r="AC46" s="4">
        <v>0.15</v>
      </c>
      <c r="AD46" s="4">
        <v>5</v>
      </c>
      <c r="AE46" s="4">
        <v>1</v>
      </c>
      <c r="AF46" s="4" t="s">
        <v>108</v>
      </c>
      <c r="AG46" s="4" t="s">
        <v>63</v>
      </c>
      <c r="AH46" s="4">
        <v>0</v>
      </c>
      <c r="AI46" s="4">
        <v>0</v>
      </c>
      <c r="AJ46" s="4">
        <v>0</v>
      </c>
      <c r="AK46" s="4">
        <v>0</v>
      </c>
      <c r="AL46" s="4" t="s">
        <v>60</v>
      </c>
      <c r="AM46" s="4">
        <v>0.5</v>
      </c>
      <c r="AN46" s="4">
        <v>0.2</v>
      </c>
      <c r="AO46" s="4">
        <v>28.41</v>
      </c>
      <c r="AP46" s="4">
        <v>0.76</v>
      </c>
      <c r="AQ46" s="4">
        <v>0</v>
      </c>
      <c r="AR46" s="4"/>
      <c r="AS46" s="4" t="s">
        <v>59</v>
      </c>
      <c r="AT46" s="4"/>
      <c r="AU46" s="4" t="s">
        <v>61</v>
      </c>
      <c r="AV46" s="4"/>
      <c r="AW46" s="4">
        <v>5.58</v>
      </c>
      <c r="AX46" s="4">
        <v>2.14</v>
      </c>
      <c r="AY46" s="4">
        <v>1.8</v>
      </c>
      <c r="AZ46" s="4" t="s">
        <v>62</v>
      </c>
      <c r="BA46" s="4" t="s">
        <v>281</v>
      </c>
      <c r="BB46" s="4"/>
      <c r="BC46" s="4">
        <v>0.10315217391304347</v>
      </c>
      <c r="BD46" s="4" t="s">
        <v>110</v>
      </c>
      <c r="BE46" s="4">
        <v>2.9300000667572021</v>
      </c>
      <c r="BF46" s="4"/>
      <c r="BG46" s="4"/>
      <c r="BH46" s="4"/>
      <c r="BJ46" s="4"/>
      <c r="BK46" s="4"/>
      <c r="BL46" s="4"/>
    </row>
    <row r="47" spans="1:64" x14ac:dyDescent="0.25">
      <c r="A47" s="2" t="str">
        <f t="shared" si="0"/>
        <v>Q83 Production Wellhead2</v>
      </c>
      <c r="B47" s="4" t="s">
        <v>282</v>
      </c>
      <c r="C47" s="4">
        <v>2</v>
      </c>
      <c r="D47" s="4" t="s">
        <v>133</v>
      </c>
      <c r="E47" s="4" t="s">
        <v>59</v>
      </c>
      <c r="F47" s="4" t="s">
        <v>196</v>
      </c>
      <c r="G47" s="4" t="s">
        <v>64</v>
      </c>
      <c r="H47" s="4" t="s">
        <v>279</v>
      </c>
      <c r="I47" s="4">
        <v>50</v>
      </c>
      <c r="J47" s="4">
        <v>60.3</v>
      </c>
      <c r="K47" s="4">
        <v>10.7</v>
      </c>
      <c r="L47" s="4">
        <v>8.4</v>
      </c>
      <c r="M47" s="4">
        <v>2.2999999999999998</v>
      </c>
      <c r="N47" s="4">
        <v>21.49</v>
      </c>
      <c r="O47" s="4" t="s">
        <v>283</v>
      </c>
      <c r="P47" s="4">
        <v>2.14</v>
      </c>
      <c r="Q47" s="4">
        <v>0.09</v>
      </c>
      <c r="R47" s="4"/>
      <c r="S47" s="4">
        <v>2</v>
      </c>
      <c r="T47" s="4">
        <v>1</v>
      </c>
      <c r="U47" s="4" t="s">
        <v>107</v>
      </c>
      <c r="V47" s="4" t="s">
        <v>65</v>
      </c>
      <c r="W47" s="4" t="s">
        <v>66</v>
      </c>
      <c r="X47" s="4">
        <v>68.599999999999994</v>
      </c>
      <c r="Y47" s="4">
        <v>3.13</v>
      </c>
      <c r="Z47" s="4">
        <v>4.1900000000000004</v>
      </c>
      <c r="AA47" s="4">
        <v>25</v>
      </c>
      <c r="AB47" s="4">
        <v>2.74</v>
      </c>
      <c r="AC47" s="4">
        <v>0.17</v>
      </c>
      <c r="AD47" s="4">
        <v>5</v>
      </c>
      <c r="AE47" s="4">
        <v>1</v>
      </c>
      <c r="AF47" s="4" t="s">
        <v>108</v>
      </c>
      <c r="AG47" s="4" t="s">
        <v>63</v>
      </c>
      <c r="AH47" s="4">
        <v>0</v>
      </c>
      <c r="AI47" s="4">
        <v>0</v>
      </c>
      <c r="AJ47" s="4">
        <v>0</v>
      </c>
      <c r="AK47" s="4">
        <v>0</v>
      </c>
      <c r="AL47" s="4" t="s">
        <v>60</v>
      </c>
      <c r="AM47" s="4">
        <v>0.5</v>
      </c>
      <c r="AN47" s="4">
        <v>0.2</v>
      </c>
      <c r="AO47" s="4">
        <v>34.299999999999997</v>
      </c>
      <c r="AP47" s="4">
        <v>0.84</v>
      </c>
      <c r="AQ47" s="4">
        <v>0</v>
      </c>
      <c r="AR47" s="4"/>
      <c r="AS47" s="4" t="s">
        <v>59</v>
      </c>
      <c r="AT47" s="4"/>
      <c r="AU47" s="4" t="s">
        <v>61</v>
      </c>
      <c r="AV47" s="4"/>
      <c r="AW47" s="4">
        <v>5.58</v>
      </c>
      <c r="AX47" s="4">
        <v>2.14</v>
      </c>
      <c r="AY47" s="4">
        <v>1.8</v>
      </c>
      <c r="AZ47" s="4" t="s">
        <v>62</v>
      </c>
      <c r="BA47" s="4" t="s">
        <v>284</v>
      </c>
      <c r="BB47" s="4"/>
      <c r="BC47" s="4">
        <v>9.1249999999999984E-2</v>
      </c>
      <c r="BD47" s="4" t="s">
        <v>110</v>
      </c>
      <c r="BE47" s="4">
        <v>3.130000114440918</v>
      </c>
      <c r="BF47" s="4"/>
      <c r="BG47" s="4"/>
      <c r="BH47" s="4"/>
      <c r="BJ47" s="4"/>
      <c r="BK47" s="4"/>
      <c r="BL47" s="4"/>
    </row>
    <row r="48" spans="1:64" x14ac:dyDescent="0.25">
      <c r="A48" s="2" t="str">
        <f t="shared" si="0"/>
        <v>Y73M Production Wellhead2</v>
      </c>
      <c r="B48" s="4" t="s">
        <v>285</v>
      </c>
      <c r="C48" s="4">
        <v>2</v>
      </c>
      <c r="D48" s="4" t="s">
        <v>122</v>
      </c>
      <c r="E48" s="4" t="s">
        <v>59</v>
      </c>
      <c r="F48" s="4" t="s">
        <v>170</v>
      </c>
      <c r="G48" s="4" t="s">
        <v>64</v>
      </c>
      <c r="H48" s="4" t="s">
        <v>286</v>
      </c>
      <c r="I48" s="4">
        <v>50</v>
      </c>
      <c r="J48" s="4">
        <v>60.3</v>
      </c>
      <c r="K48" s="4">
        <v>9.1</v>
      </c>
      <c r="L48" s="4">
        <v>7.1</v>
      </c>
      <c r="M48" s="4">
        <v>2</v>
      </c>
      <c r="N48" s="4">
        <v>21.97</v>
      </c>
      <c r="O48" s="4" t="s">
        <v>287</v>
      </c>
      <c r="P48" s="4">
        <v>2.14</v>
      </c>
      <c r="Q48" s="4">
        <v>7.0000000000000007E-2</v>
      </c>
      <c r="R48" s="4"/>
      <c r="S48" s="4">
        <v>2</v>
      </c>
      <c r="T48" s="4">
        <v>1</v>
      </c>
      <c r="U48" s="4" t="s">
        <v>107</v>
      </c>
      <c r="V48" s="4" t="s">
        <v>65</v>
      </c>
      <c r="W48" s="4" t="s">
        <v>66</v>
      </c>
      <c r="X48" s="4">
        <v>63.07</v>
      </c>
      <c r="Y48" s="4">
        <v>2.48</v>
      </c>
      <c r="Z48" s="4">
        <v>3.12</v>
      </c>
      <c r="AA48" s="4">
        <v>25</v>
      </c>
      <c r="AB48" s="4">
        <v>2.52</v>
      </c>
      <c r="AC48" s="4">
        <v>0.12</v>
      </c>
      <c r="AD48" s="4">
        <v>5</v>
      </c>
      <c r="AE48" s="4">
        <v>1</v>
      </c>
      <c r="AF48" s="4" t="s">
        <v>108</v>
      </c>
      <c r="AG48" s="4" t="s">
        <v>63</v>
      </c>
      <c r="AH48" s="4">
        <v>0</v>
      </c>
      <c r="AI48" s="4">
        <v>0</v>
      </c>
      <c r="AJ48" s="4">
        <v>0</v>
      </c>
      <c r="AK48" s="4">
        <v>0</v>
      </c>
      <c r="AL48" s="4" t="s">
        <v>60</v>
      </c>
      <c r="AM48" s="4">
        <v>0.5</v>
      </c>
      <c r="AN48" s="4">
        <v>0.2</v>
      </c>
      <c r="AO48" s="4">
        <v>31.54</v>
      </c>
      <c r="AP48" s="4">
        <v>0.62</v>
      </c>
      <c r="AQ48" s="4">
        <v>0</v>
      </c>
      <c r="AR48" s="4"/>
      <c r="AS48" s="4" t="s">
        <v>59</v>
      </c>
      <c r="AT48" s="4"/>
      <c r="AU48" s="4" t="s">
        <v>61</v>
      </c>
      <c r="AV48" s="4"/>
      <c r="AW48" s="4">
        <v>5.58</v>
      </c>
      <c r="AX48" s="4">
        <v>2.14</v>
      </c>
      <c r="AY48" s="4">
        <v>1.8</v>
      </c>
      <c r="AZ48" s="4" t="s">
        <v>62</v>
      </c>
      <c r="BA48" s="4" t="s">
        <v>288</v>
      </c>
      <c r="BB48" s="4"/>
      <c r="BC48" s="4">
        <v>7.8638371216201666E-2</v>
      </c>
      <c r="BD48" s="4" t="s">
        <v>110</v>
      </c>
      <c r="BE48" s="4">
        <v>2.4800000190734863</v>
      </c>
      <c r="BF48" s="4"/>
      <c r="BG48" s="4"/>
      <c r="BH48" s="4"/>
      <c r="BJ48" s="4"/>
      <c r="BK48" s="4"/>
      <c r="BL48" s="4"/>
    </row>
    <row r="49" spans="1:64" x14ac:dyDescent="0.25">
      <c r="A49" s="2" t="str">
        <f t="shared" si="0"/>
        <v>P46 Production Wellhead2</v>
      </c>
      <c r="B49" s="4" t="s">
        <v>253</v>
      </c>
      <c r="C49" s="4">
        <v>2</v>
      </c>
      <c r="D49" s="4" t="s">
        <v>133</v>
      </c>
      <c r="E49" s="4" t="s">
        <v>59</v>
      </c>
      <c r="F49" s="4" t="s">
        <v>196</v>
      </c>
      <c r="G49" s="4" t="s">
        <v>64</v>
      </c>
      <c r="H49" s="4" t="s">
        <v>254</v>
      </c>
      <c r="I49" s="4">
        <v>50</v>
      </c>
      <c r="J49" s="4">
        <v>60.3</v>
      </c>
      <c r="K49" s="4">
        <v>10.3</v>
      </c>
      <c r="L49" s="4">
        <v>8</v>
      </c>
      <c r="M49" s="4">
        <v>2.2999999999999998</v>
      </c>
      <c r="N49" s="4">
        <v>22.33</v>
      </c>
      <c r="O49" s="4" t="s">
        <v>255</v>
      </c>
      <c r="P49" s="4">
        <v>2.14</v>
      </c>
      <c r="Q49" s="4">
        <v>0.09</v>
      </c>
      <c r="R49" s="4"/>
      <c r="S49" s="4">
        <v>2</v>
      </c>
      <c r="T49" s="4">
        <v>1</v>
      </c>
      <c r="U49" s="4" t="s">
        <v>107</v>
      </c>
      <c r="V49" s="4" t="s">
        <v>65</v>
      </c>
      <c r="W49" s="4" t="s">
        <v>66</v>
      </c>
      <c r="X49" s="4">
        <v>64.180000000000007</v>
      </c>
      <c r="Y49" s="4">
        <v>2.93</v>
      </c>
      <c r="Z49" s="4">
        <v>3.77</v>
      </c>
      <c r="AA49" s="4">
        <v>25</v>
      </c>
      <c r="AB49" s="4">
        <v>2.57</v>
      </c>
      <c r="AC49" s="4">
        <v>0.15</v>
      </c>
      <c r="AD49" s="4">
        <v>5</v>
      </c>
      <c r="AE49" s="4">
        <v>1</v>
      </c>
      <c r="AF49" s="4" t="s">
        <v>108</v>
      </c>
      <c r="AG49" s="4" t="s">
        <v>63</v>
      </c>
      <c r="AH49" s="4">
        <v>0</v>
      </c>
      <c r="AI49" s="4">
        <v>0</v>
      </c>
      <c r="AJ49" s="4">
        <v>0</v>
      </c>
      <c r="AK49" s="4">
        <v>0</v>
      </c>
      <c r="AL49" s="4" t="s">
        <v>60</v>
      </c>
      <c r="AM49" s="4">
        <v>0.5</v>
      </c>
      <c r="AN49" s="4">
        <v>0.2</v>
      </c>
      <c r="AO49" s="4">
        <v>32.090000000000003</v>
      </c>
      <c r="AP49" s="4">
        <v>0.75</v>
      </c>
      <c r="AQ49" s="4">
        <v>0</v>
      </c>
      <c r="AR49" s="4"/>
      <c r="AS49" s="4" t="s">
        <v>59</v>
      </c>
      <c r="AT49" s="4"/>
      <c r="AU49" s="4" t="s">
        <v>61</v>
      </c>
      <c r="AV49" s="4"/>
      <c r="AW49" s="4">
        <v>5.58</v>
      </c>
      <c r="AX49" s="4">
        <v>2.14</v>
      </c>
      <c r="AY49" s="4">
        <v>1.8</v>
      </c>
      <c r="AZ49" s="4" t="s">
        <v>62</v>
      </c>
      <c r="BA49" s="4" t="s">
        <v>182</v>
      </c>
      <c r="BB49" s="4"/>
      <c r="BC49" s="4">
        <v>9.1309549706330206E-2</v>
      </c>
      <c r="BD49" s="4" t="s">
        <v>110</v>
      </c>
      <c r="BE49" s="4">
        <v>2.9300000667572021</v>
      </c>
      <c r="BF49" s="4"/>
      <c r="BG49" s="4"/>
      <c r="BH49" s="4"/>
      <c r="BJ49" s="4"/>
      <c r="BK49" s="4"/>
      <c r="BL49" s="4"/>
    </row>
    <row r="50" spans="1:64" x14ac:dyDescent="0.25">
      <c r="A50" s="2" t="str">
        <f t="shared" si="0"/>
        <v>P66 Production Wellhead2</v>
      </c>
      <c r="B50" s="4" t="s">
        <v>256</v>
      </c>
      <c r="C50" s="4">
        <v>2</v>
      </c>
      <c r="D50" s="4" t="s">
        <v>133</v>
      </c>
      <c r="E50" s="4" t="s">
        <v>59</v>
      </c>
      <c r="F50" s="4" t="s">
        <v>196</v>
      </c>
      <c r="G50" s="4" t="s">
        <v>64</v>
      </c>
      <c r="H50" s="4" t="s">
        <v>232</v>
      </c>
      <c r="I50" s="4">
        <v>50</v>
      </c>
      <c r="J50" s="4">
        <v>60.3</v>
      </c>
      <c r="K50" s="4">
        <v>10.7</v>
      </c>
      <c r="L50" s="4">
        <v>8.5</v>
      </c>
      <c r="M50" s="4">
        <v>2.2000000000000002</v>
      </c>
      <c r="N50" s="4">
        <v>20.56</v>
      </c>
      <c r="O50" s="4" t="s">
        <v>257</v>
      </c>
      <c r="P50" s="4">
        <v>2.14</v>
      </c>
      <c r="Q50" s="4">
        <v>0.08</v>
      </c>
      <c r="R50" s="4"/>
      <c r="S50" s="4">
        <v>2</v>
      </c>
      <c r="T50" s="4">
        <v>1</v>
      </c>
      <c r="U50" s="4" t="s">
        <v>107</v>
      </c>
      <c r="V50" s="4" t="s">
        <v>65</v>
      </c>
      <c r="W50" s="4" t="s">
        <v>66</v>
      </c>
      <c r="X50" s="4">
        <v>72.84</v>
      </c>
      <c r="Y50" s="4">
        <v>3.18</v>
      </c>
      <c r="Z50" s="4">
        <v>4.28</v>
      </c>
      <c r="AA50" s="4">
        <v>25</v>
      </c>
      <c r="AB50" s="4">
        <v>2.91</v>
      </c>
      <c r="AC50" s="4">
        <v>0.17</v>
      </c>
      <c r="AD50" s="4">
        <v>5</v>
      </c>
      <c r="AE50" s="4">
        <v>1</v>
      </c>
      <c r="AF50" s="4" t="s">
        <v>108</v>
      </c>
      <c r="AG50" s="4" t="s">
        <v>63</v>
      </c>
      <c r="AH50" s="4">
        <v>0</v>
      </c>
      <c r="AI50" s="4">
        <v>0</v>
      </c>
      <c r="AJ50" s="4">
        <v>0</v>
      </c>
      <c r="AK50" s="4">
        <v>0</v>
      </c>
      <c r="AL50" s="4" t="s">
        <v>60</v>
      </c>
      <c r="AM50" s="4">
        <v>0.5</v>
      </c>
      <c r="AN50" s="4">
        <v>0.2</v>
      </c>
      <c r="AO50" s="4">
        <v>36.42</v>
      </c>
      <c r="AP50" s="4">
        <v>0.86</v>
      </c>
      <c r="AQ50" s="4">
        <v>0</v>
      </c>
      <c r="AR50" s="4"/>
      <c r="AS50" s="4" t="s">
        <v>59</v>
      </c>
      <c r="AT50" s="4"/>
      <c r="AU50" s="4" t="s">
        <v>61</v>
      </c>
      <c r="AV50" s="4"/>
      <c r="AW50" s="4">
        <v>5.58</v>
      </c>
      <c r="AX50" s="4">
        <v>2.14</v>
      </c>
      <c r="AY50" s="4">
        <v>1.8</v>
      </c>
      <c r="AZ50" s="4" t="s">
        <v>62</v>
      </c>
      <c r="BA50" s="4" t="s">
        <v>230</v>
      </c>
      <c r="BB50" s="4"/>
      <c r="BC50" s="4">
        <v>8.731107969990215E-2</v>
      </c>
      <c r="BD50" s="4" t="s">
        <v>110</v>
      </c>
      <c r="BE50" s="4">
        <v>3.1800000667572021</v>
      </c>
      <c r="BF50" s="4"/>
      <c r="BG50" s="4"/>
      <c r="BH50" s="4"/>
      <c r="BJ50" s="4"/>
      <c r="BK50" s="4"/>
      <c r="BL50" s="4"/>
    </row>
    <row r="51" spans="1:64" x14ac:dyDescent="0.25">
      <c r="A51" s="2" t="str">
        <f t="shared" si="0"/>
        <v>P71A Production Wellhead1</v>
      </c>
      <c r="B51" s="4" t="s">
        <v>258</v>
      </c>
      <c r="C51" s="4">
        <v>1</v>
      </c>
      <c r="D51" s="4" t="s">
        <v>103</v>
      </c>
      <c r="E51" s="4" t="s">
        <v>59</v>
      </c>
      <c r="F51" s="4" t="s">
        <v>170</v>
      </c>
      <c r="G51" s="4" t="s">
        <v>64</v>
      </c>
      <c r="H51" s="4" t="s">
        <v>259</v>
      </c>
      <c r="I51" s="4">
        <v>50</v>
      </c>
      <c r="J51" s="4">
        <v>60.3</v>
      </c>
      <c r="K51" s="4">
        <v>10.4</v>
      </c>
      <c r="L51" s="4">
        <v>8</v>
      </c>
      <c r="M51" s="4">
        <v>2.4</v>
      </c>
      <c r="N51" s="4">
        <v>23.07</v>
      </c>
      <c r="O51" s="4" t="s">
        <v>260</v>
      </c>
      <c r="P51" s="4">
        <v>2.14</v>
      </c>
      <c r="Q51" s="4">
        <v>0.09</v>
      </c>
      <c r="R51" s="4"/>
      <c r="S51" s="4">
        <v>2</v>
      </c>
      <c r="T51" s="4">
        <v>1</v>
      </c>
      <c r="U51" s="4" t="s">
        <v>107</v>
      </c>
      <c r="V51" s="4" t="s">
        <v>65</v>
      </c>
      <c r="W51" s="4" t="s">
        <v>66</v>
      </c>
      <c r="X51" s="4">
        <v>62.13</v>
      </c>
      <c r="Y51" s="4">
        <v>2.93</v>
      </c>
      <c r="Z51" s="4">
        <v>4.03</v>
      </c>
      <c r="AA51" s="4">
        <v>25</v>
      </c>
      <c r="AB51" s="4">
        <v>2.4900000000000002</v>
      </c>
      <c r="AC51" s="4">
        <v>0.16</v>
      </c>
      <c r="AD51" s="4">
        <v>5</v>
      </c>
      <c r="AE51" s="4">
        <v>1</v>
      </c>
      <c r="AF51" s="4" t="s">
        <v>108</v>
      </c>
      <c r="AG51" s="4" t="s">
        <v>63</v>
      </c>
      <c r="AH51" s="4">
        <v>0</v>
      </c>
      <c r="AI51" s="4">
        <v>0</v>
      </c>
      <c r="AJ51" s="4">
        <v>0</v>
      </c>
      <c r="AK51" s="4">
        <v>0</v>
      </c>
      <c r="AL51" s="4" t="s">
        <v>60</v>
      </c>
      <c r="AM51" s="4">
        <v>0.5</v>
      </c>
      <c r="AN51" s="4">
        <v>0.2</v>
      </c>
      <c r="AO51" s="4">
        <v>31.07</v>
      </c>
      <c r="AP51" s="4">
        <v>0.81</v>
      </c>
      <c r="AQ51" s="4">
        <v>0</v>
      </c>
      <c r="AR51" s="4"/>
      <c r="AS51" s="4" t="s">
        <v>59</v>
      </c>
      <c r="AT51" s="4"/>
      <c r="AU51" s="4" t="s">
        <v>61</v>
      </c>
      <c r="AV51" s="4"/>
      <c r="AW51" s="4">
        <v>5.58</v>
      </c>
      <c r="AX51" s="4">
        <v>2.14</v>
      </c>
      <c r="AY51" s="4">
        <v>1.8</v>
      </c>
      <c r="AZ51" s="4" t="s">
        <v>62</v>
      </c>
      <c r="BA51" s="4" t="s">
        <v>261</v>
      </c>
      <c r="BB51" s="4"/>
      <c r="BC51" s="4">
        <v>9.4325401098309461E-2</v>
      </c>
      <c r="BD51" s="4" t="s">
        <v>110</v>
      </c>
      <c r="BE51" s="4">
        <v>2.9300000667572021</v>
      </c>
      <c r="BF51" s="4"/>
      <c r="BG51" s="4"/>
      <c r="BH51" s="4"/>
      <c r="BJ51" s="4"/>
      <c r="BK51" s="4"/>
      <c r="BL51" s="4"/>
    </row>
    <row r="52" spans="1:64" x14ac:dyDescent="0.25">
      <c r="A52" s="2" t="str">
        <f t="shared" si="0"/>
        <v>P71A Production Wellhead2</v>
      </c>
      <c r="B52" s="4" t="s">
        <v>258</v>
      </c>
      <c r="C52" s="4">
        <v>2</v>
      </c>
      <c r="D52" s="4" t="s">
        <v>122</v>
      </c>
      <c r="E52" s="4" t="s">
        <v>59</v>
      </c>
      <c r="F52" s="4" t="s">
        <v>170</v>
      </c>
      <c r="G52" s="4" t="s">
        <v>64</v>
      </c>
      <c r="H52" s="4" t="s">
        <v>259</v>
      </c>
      <c r="I52" s="4">
        <v>50</v>
      </c>
      <c r="J52" s="4">
        <v>60.3</v>
      </c>
      <c r="K52" s="4">
        <v>10.8</v>
      </c>
      <c r="L52" s="4">
        <v>8.4</v>
      </c>
      <c r="M52" s="4">
        <v>2.4</v>
      </c>
      <c r="N52" s="4">
        <v>22.22</v>
      </c>
      <c r="O52" s="4" t="s">
        <v>262</v>
      </c>
      <c r="P52" s="4">
        <v>2.14</v>
      </c>
      <c r="Q52" s="4">
        <v>0.09</v>
      </c>
      <c r="R52" s="4"/>
      <c r="S52" s="4">
        <v>2</v>
      </c>
      <c r="T52" s="4">
        <v>1</v>
      </c>
      <c r="U52" s="4" t="s">
        <v>107</v>
      </c>
      <c r="V52" s="4" t="s">
        <v>65</v>
      </c>
      <c r="W52" s="4" t="s">
        <v>66</v>
      </c>
      <c r="X52" s="4">
        <v>66.37</v>
      </c>
      <c r="Y52" s="4">
        <v>3.13</v>
      </c>
      <c r="Z52" s="4">
        <v>4.43</v>
      </c>
      <c r="AA52" s="4">
        <v>25</v>
      </c>
      <c r="AB52" s="4">
        <v>2.65</v>
      </c>
      <c r="AC52" s="4">
        <v>0.18</v>
      </c>
      <c r="AD52" s="4">
        <v>5</v>
      </c>
      <c r="AE52" s="4">
        <v>1</v>
      </c>
      <c r="AF52" s="4" t="s">
        <v>108</v>
      </c>
      <c r="AG52" s="4" t="s">
        <v>63</v>
      </c>
      <c r="AH52" s="4">
        <v>0</v>
      </c>
      <c r="AI52" s="4">
        <v>0</v>
      </c>
      <c r="AJ52" s="4">
        <v>0</v>
      </c>
      <c r="AK52" s="4">
        <v>0</v>
      </c>
      <c r="AL52" s="4" t="s">
        <v>60</v>
      </c>
      <c r="AM52" s="4">
        <v>0.5</v>
      </c>
      <c r="AN52" s="4">
        <v>0.2</v>
      </c>
      <c r="AO52" s="4">
        <v>33.19</v>
      </c>
      <c r="AP52" s="4">
        <v>0.89</v>
      </c>
      <c r="AQ52" s="4">
        <v>0</v>
      </c>
      <c r="AR52" s="4"/>
      <c r="AS52" s="4" t="s">
        <v>59</v>
      </c>
      <c r="AT52" s="4"/>
      <c r="AU52" s="4" t="s">
        <v>61</v>
      </c>
      <c r="AV52" s="4"/>
      <c r="AW52" s="4">
        <v>5.58</v>
      </c>
      <c r="AX52" s="4">
        <v>2.14</v>
      </c>
      <c r="AY52" s="4">
        <v>1.8</v>
      </c>
      <c r="AZ52" s="4" t="s">
        <v>62</v>
      </c>
      <c r="BA52" s="4" t="s">
        <v>263</v>
      </c>
      <c r="BB52" s="4"/>
      <c r="BC52" s="4">
        <v>9.4325401098309461E-2</v>
      </c>
      <c r="BD52" s="4" t="s">
        <v>110</v>
      </c>
      <c r="BE52" s="4">
        <v>3.130000114440918</v>
      </c>
      <c r="BF52" s="4"/>
      <c r="BG52" s="4"/>
      <c r="BH52" s="4"/>
      <c r="BJ52" s="4"/>
      <c r="BK52" s="4"/>
      <c r="BL52" s="4"/>
    </row>
    <row r="53" spans="1:64" x14ac:dyDescent="0.25">
      <c r="A53" s="2" t="str">
        <f t="shared" si="0"/>
        <v>P81 Production Wellhead2</v>
      </c>
      <c r="B53" s="4" t="s">
        <v>264</v>
      </c>
      <c r="C53" s="4">
        <v>2</v>
      </c>
      <c r="D53" s="4" t="s">
        <v>133</v>
      </c>
      <c r="E53" s="4" t="s">
        <v>59</v>
      </c>
      <c r="F53" s="4" t="s">
        <v>196</v>
      </c>
      <c r="G53" s="4" t="s">
        <v>64</v>
      </c>
      <c r="H53" s="4" t="s">
        <v>265</v>
      </c>
      <c r="I53" s="4">
        <v>50</v>
      </c>
      <c r="J53" s="4">
        <v>60.3</v>
      </c>
      <c r="K53" s="4">
        <v>10.5</v>
      </c>
      <c r="L53" s="4">
        <v>8.5</v>
      </c>
      <c r="M53" s="4">
        <v>2</v>
      </c>
      <c r="N53" s="4">
        <v>19.04</v>
      </c>
      <c r="O53" s="4" t="s">
        <v>266</v>
      </c>
      <c r="P53" s="4">
        <v>2.14</v>
      </c>
      <c r="Q53" s="4">
        <v>7.0000000000000007E-2</v>
      </c>
      <c r="R53" s="4"/>
      <c r="S53" s="4">
        <v>2</v>
      </c>
      <c r="T53" s="4">
        <v>1</v>
      </c>
      <c r="U53" s="4" t="s">
        <v>107</v>
      </c>
      <c r="V53" s="4" t="s">
        <v>65</v>
      </c>
      <c r="W53" s="4" t="s">
        <v>66</v>
      </c>
      <c r="X53" s="4">
        <v>80.11</v>
      </c>
      <c r="Y53" s="4">
        <v>3.18</v>
      </c>
      <c r="Z53" s="4">
        <v>4.28</v>
      </c>
      <c r="AA53" s="4">
        <v>25</v>
      </c>
      <c r="AB53" s="4">
        <v>3.2</v>
      </c>
      <c r="AC53" s="4">
        <v>0.17</v>
      </c>
      <c r="AD53" s="4">
        <v>5</v>
      </c>
      <c r="AE53" s="4">
        <v>1</v>
      </c>
      <c r="AF53" s="4" t="s">
        <v>108</v>
      </c>
      <c r="AG53" s="4" t="s">
        <v>63</v>
      </c>
      <c r="AH53" s="4">
        <v>0</v>
      </c>
      <c r="AI53" s="4">
        <v>0</v>
      </c>
      <c r="AJ53" s="4">
        <v>0</v>
      </c>
      <c r="AK53" s="4">
        <v>0</v>
      </c>
      <c r="AL53" s="4" t="s">
        <v>60</v>
      </c>
      <c r="AM53" s="4">
        <v>0.5</v>
      </c>
      <c r="AN53" s="4">
        <v>0.2</v>
      </c>
      <c r="AO53" s="4">
        <v>40.049999999999997</v>
      </c>
      <c r="AP53" s="4">
        <v>0.86</v>
      </c>
      <c r="AQ53" s="4">
        <v>0</v>
      </c>
      <c r="AR53" s="4"/>
      <c r="AS53" s="4" t="s">
        <v>59</v>
      </c>
      <c r="AT53" s="4"/>
      <c r="AU53" s="4" t="s">
        <v>61</v>
      </c>
      <c r="AV53" s="4"/>
      <c r="AW53" s="4">
        <v>5.58</v>
      </c>
      <c r="AX53" s="4">
        <v>2.14</v>
      </c>
      <c r="AY53" s="4">
        <v>1.8</v>
      </c>
      <c r="AZ53" s="4" t="s">
        <v>62</v>
      </c>
      <c r="BA53" s="4" t="s">
        <v>230</v>
      </c>
      <c r="BB53" s="4"/>
      <c r="BC53" s="4">
        <v>7.9390973355084285E-2</v>
      </c>
      <c r="BD53" s="4" t="s">
        <v>110</v>
      </c>
      <c r="BE53" s="4">
        <v>3.1800000667572021</v>
      </c>
      <c r="BF53" s="4"/>
      <c r="BG53" s="4"/>
      <c r="BH53" s="4"/>
      <c r="BJ53" s="4"/>
      <c r="BK53" s="4"/>
      <c r="BL53" s="4"/>
    </row>
    <row r="54" spans="1:64" x14ac:dyDescent="0.25">
      <c r="A54" s="2" t="str">
        <f t="shared" si="0"/>
        <v>P86 Production Wellhead2</v>
      </c>
      <c r="B54" s="4" t="s">
        <v>267</v>
      </c>
      <c r="C54" s="4">
        <v>2</v>
      </c>
      <c r="D54" s="4" t="s">
        <v>138</v>
      </c>
      <c r="E54" s="4" t="s">
        <v>59</v>
      </c>
      <c r="F54" s="4" t="s">
        <v>217</v>
      </c>
      <c r="G54" s="4" t="s">
        <v>64</v>
      </c>
      <c r="H54" s="4" t="s">
        <v>265</v>
      </c>
      <c r="I54" s="4">
        <v>50</v>
      </c>
      <c r="J54" s="4">
        <v>60.3</v>
      </c>
      <c r="K54" s="4">
        <v>10.3</v>
      </c>
      <c r="L54" s="4">
        <v>8.1</v>
      </c>
      <c r="M54" s="4">
        <v>2.2000000000000002</v>
      </c>
      <c r="N54" s="4">
        <v>21.35</v>
      </c>
      <c r="O54" s="4" t="s">
        <v>268</v>
      </c>
      <c r="P54" s="4">
        <v>2.14</v>
      </c>
      <c r="Q54" s="4">
        <v>0.08</v>
      </c>
      <c r="R54" s="4"/>
      <c r="S54" s="4">
        <v>2</v>
      </c>
      <c r="T54" s="4">
        <v>1</v>
      </c>
      <c r="U54" s="4" t="s">
        <v>107</v>
      </c>
      <c r="V54" s="4" t="s">
        <v>65</v>
      </c>
      <c r="W54" s="4" t="s">
        <v>66</v>
      </c>
      <c r="X54" s="4">
        <v>68.25</v>
      </c>
      <c r="Y54" s="4">
        <v>2.98</v>
      </c>
      <c r="Z54" s="4">
        <v>3.88</v>
      </c>
      <c r="AA54" s="4">
        <v>25</v>
      </c>
      <c r="AB54" s="4">
        <v>2.73</v>
      </c>
      <c r="AC54" s="4">
        <v>0.16</v>
      </c>
      <c r="AD54" s="4">
        <v>5</v>
      </c>
      <c r="AE54" s="4">
        <v>1</v>
      </c>
      <c r="AF54" s="4" t="s">
        <v>108</v>
      </c>
      <c r="AG54" s="4" t="s">
        <v>63</v>
      </c>
      <c r="AH54" s="4">
        <v>0</v>
      </c>
      <c r="AI54" s="4">
        <v>0</v>
      </c>
      <c r="AJ54" s="4">
        <v>0</v>
      </c>
      <c r="AK54" s="4">
        <v>0</v>
      </c>
      <c r="AL54" s="4" t="s">
        <v>60</v>
      </c>
      <c r="AM54" s="4">
        <v>0.5</v>
      </c>
      <c r="AN54" s="4">
        <v>0.2</v>
      </c>
      <c r="AO54" s="4">
        <v>34.119999999999997</v>
      </c>
      <c r="AP54" s="4">
        <v>0.78</v>
      </c>
      <c r="AQ54" s="4">
        <v>0</v>
      </c>
      <c r="AR54" s="4"/>
      <c r="AS54" s="4" t="s">
        <v>59</v>
      </c>
      <c r="AT54" s="4"/>
      <c r="AU54" s="4" t="s">
        <v>61</v>
      </c>
      <c r="AV54" s="4"/>
      <c r="AW54" s="4">
        <v>5.58</v>
      </c>
      <c r="AX54" s="4">
        <v>2.14</v>
      </c>
      <c r="AY54" s="4">
        <v>1.8</v>
      </c>
      <c r="AZ54" s="4" t="s">
        <v>62</v>
      </c>
      <c r="BA54" s="4" t="s">
        <v>269</v>
      </c>
      <c r="BB54" s="4"/>
      <c r="BC54" s="4">
        <v>8.7330070690592718E-2</v>
      </c>
      <c r="BD54" s="4" t="s">
        <v>110</v>
      </c>
      <c r="BE54" s="4">
        <v>2.9800000190734863</v>
      </c>
      <c r="BF54" s="4"/>
      <c r="BG54" s="4"/>
      <c r="BH54" s="4"/>
      <c r="BJ54" s="4"/>
      <c r="BK54" s="4"/>
      <c r="BL54" s="4"/>
    </row>
    <row r="55" spans="1:64" x14ac:dyDescent="0.25">
      <c r="A55" s="2" t="str">
        <f t="shared" si="0"/>
        <v>Q45 Production Wellhead1</v>
      </c>
      <c r="B55" s="4" t="s">
        <v>270</v>
      </c>
      <c r="C55" s="4">
        <v>1</v>
      </c>
      <c r="D55" s="4" t="s">
        <v>103</v>
      </c>
      <c r="E55" s="4" t="s">
        <v>59</v>
      </c>
      <c r="F55" s="4" t="s">
        <v>271</v>
      </c>
      <c r="G55" s="4" t="s">
        <v>64</v>
      </c>
      <c r="H55" s="4" t="s">
        <v>272</v>
      </c>
      <c r="I55" s="4">
        <v>50</v>
      </c>
      <c r="J55" s="4">
        <v>60.3</v>
      </c>
      <c r="K55" s="4">
        <v>11.6</v>
      </c>
      <c r="L55" s="4">
        <v>9.3000000000000007</v>
      </c>
      <c r="M55" s="4">
        <v>2.2999999999999998</v>
      </c>
      <c r="N55" s="4">
        <v>19.82</v>
      </c>
      <c r="O55" s="4" t="s">
        <v>273</v>
      </c>
      <c r="P55" s="4">
        <v>2.14</v>
      </c>
      <c r="Q55" s="4">
        <v>0.09</v>
      </c>
      <c r="R55" s="4"/>
      <c r="S55" s="4">
        <v>2</v>
      </c>
      <c r="T55" s="4">
        <v>1</v>
      </c>
      <c r="U55" s="4" t="s">
        <v>107</v>
      </c>
      <c r="V55" s="4" t="s">
        <v>65</v>
      </c>
      <c r="W55" s="4" t="s">
        <v>66</v>
      </c>
      <c r="X55" s="4">
        <v>78.349999999999994</v>
      </c>
      <c r="Y55" s="4">
        <v>3.58</v>
      </c>
      <c r="Z55" s="4">
        <v>5.05</v>
      </c>
      <c r="AA55" s="4">
        <v>25</v>
      </c>
      <c r="AB55" s="4">
        <v>3.13</v>
      </c>
      <c r="AC55" s="4">
        <v>0.2</v>
      </c>
      <c r="AD55" s="4">
        <v>5</v>
      </c>
      <c r="AE55" s="4">
        <v>1</v>
      </c>
      <c r="AF55" s="4" t="s">
        <v>108</v>
      </c>
      <c r="AG55" s="4" t="s">
        <v>63</v>
      </c>
      <c r="AH55" s="4">
        <v>0</v>
      </c>
      <c r="AI55" s="4">
        <v>0</v>
      </c>
      <c r="AJ55" s="4">
        <v>0</v>
      </c>
      <c r="AK55" s="4">
        <v>0</v>
      </c>
      <c r="AL55" s="4" t="s">
        <v>60</v>
      </c>
      <c r="AM55" s="4">
        <v>0.5</v>
      </c>
      <c r="AN55" s="4">
        <v>0.2</v>
      </c>
      <c r="AO55" s="4">
        <v>39.17</v>
      </c>
      <c r="AP55" s="4">
        <v>1.01</v>
      </c>
      <c r="AQ55" s="4">
        <v>0</v>
      </c>
      <c r="AR55" s="4"/>
      <c r="AS55" s="4" t="s">
        <v>59</v>
      </c>
      <c r="AT55" s="4"/>
      <c r="AU55" s="4" t="s">
        <v>61</v>
      </c>
      <c r="AV55" s="4"/>
      <c r="AW55" s="4">
        <v>5.58</v>
      </c>
      <c r="AX55" s="4">
        <v>2.14</v>
      </c>
      <c r="AY55" s="4">
        <v>1.8</v>
      </c>
      <c r="AZ55" s="4" t="s">
        <v>62</v>
      </c>
      <c r="BA55" s="4" t="s">
        <v>274</v>
      </c>
      <c r="BB55" s="4"/>
      <c r="BC55" s="4">
        <v>9.1379122673342764E-2</v>
      </c>
      <c r="BD55" s="4" t="s">
        <v>110</v>
      </c>
      <c r="BE55" s="4">
        <v>3.5799999237060547</v>
      </c>
      <c r="BF55" s="4"/>
      <c r="BG55" s="4"/>
      <c r="BH55" s="4"/>
      <c r="BJ55" s="4"/>
      <c r="BK55" s="4"/>
      <c r="BL55" s="4"/>
    </row>
    <row r="56" spans="1:64" x14ac:dyDescent="0.25">
      <c r="A56" s="2" t="str">
        <f t="shared" si="0"/>
        <v>Q52A Production Wellhead2</v>
      </c>
      <c r="B56" s="4" t="s">
        <v>275</v>
      </c>
      <c r="C56" s="4">
        <v>2</v>
      </c>
      <c r="D56" s="4" t="s">
        <v>133</v>
      </c>
      <c r="E56" s="4" t="s">
        <v>59</v>
      </c>
      <c r="F56" s="4" t="s">
        <v>196</v>
      </c>
      <c r="G56" s="4" t="s">
        <v>64</v>
      </c>
      <c r="H56" s="4" t="s">
        <v>197</v>
      </c>
      <c r="I56" s="4">
        <v>50</v>
      </c>
      <c r="J56" s="4">
        <v>60.3</v>
      </c>
      <c r="K56" s="4">
        <v>11.07</v>
      </c>
      <c r="L56" s="4">
        <v>8.8000000000000007</v>
      </c>
      <c r="M56" s="4">
        <v>2.27</v>
      </c>
      <c r="N56" s="4">
        <v>20.5</v>
      </c>
      <c r="O56" s="4" t="s">
        <v>276</v>
      </c>
      <c r="P56" s="4">
        <v>2.14</v>
      </c>
      <c r="Q56" s="4">
        <v>0.09</v>
      </c>
      <c r="R56" s="4"/>
      <c r="S56" s="4">
        <v>2</v>
      </c>
      <c r="T56" s="4">
        <v>1</v>
      </c>
      <c r="U56" s="4" t="s">
        <v>107</v>
      </c>
      <c r="V56" s="4" t="s">
        <v>65</v>
      </c>
      <c r="W56" s="4" t="s">
        <v>66</v>
      </c>
      <c r="X56" s="4">
        <v>73.989999999999995</v>
      </c>
      <c r="Y56" s="4">
        <v>3.33</v>
      </c>
      <c r="Z56" s="4">
        <v>4.5999999999999996</v>
      </c>
      <c r="AA56" s="4">
        <v>25</v>
      </c>
      <c r="AB56" s="4">
        <v>2.96</v>
      </c>
      <c r="AC56" s="4">
        <v>0.18</v>
      </c>
      <c r="AD56" s="4">
        <v>5</v>
      </c>
      <c r="AE56" s="4">
        <v>1</v>
      </c>
      <c r="AF56" s="4" t="s">
        <v>108</v>
      </c>
      <c r="AG56" s="4" t="s">
        <v>63</v>
      </c>
      <c r="AH56" s="4">
        <v>0</v>
      </c>
      <c r="AI56" s="4">
        <v>0</v>
      </c>
      <c r="AJ56" s="4">
        <v>0</v>
      </c>
      <c r="AK56" s="4">
        <v>0</v>
      </c>
      <c r="AL56" s="4" t="s">
        <v>60</v>
      </c>
      <c r="AM56" s="4">
        <v>0.5</v>
      </c>
      <c r="AN56" s="4">
        <v>0.2</v>
      </c>
      <c r="AO56" s="4">
        <v>36.99</v>
      </c>
      <c r="AP56" s="4">
        <v>0.92</v>
      </c>
      <c r="AQ56" s="4">
        <v>0</v>
      </c>
      <c r="AR56" s="4"/>
      <c r="AS56" s="4" t="s">
        <v>59</v>
      </c>
      <c r="AT56" s="4"/>
      <c r="AU56" s="4" t="s">
        <v>61</v>
      </c>
      <c r="AV56" s="4"/>
      <c r="AW56" s="4">
        <v>5.58</v>
      </c>
      <c r="AX56" s="4">
        <v>2.14</v>
      </c>
      <c r="AY56" s="4">
        <v>1.8</v>
      </c>
      <c r="AZ56" s="4" t="s">
        <v>62</v>
      </c>
      <c r="BA56" s="4" t="s">
        <v>277</v>
      </c>
      <c r="BB56" s="4"/>
      <c r="BC56" s="4">
        <v>9.0010863661053778E-2</v>
      </c>
      <c r="BD56" s="4" t="s">
        <v>110</v>
      </c>
      <c r="BE56" s="4">
        <v>3.3299999237060547</v>
      </c>
      <c r="BF56" s="4"/>
      <c r="BG56" s="4"/>
      <c r="BH56" s="4"/>
      <c r="BJ56" s="4"/>
      <c r="BK56" s="4"/>
      <c r="BL56" s="4"/>
    </row>
    <row r="57" spans="1:64" x14ac:dyDescent="0.25">
      <c r="A57" s="2" t="str">
        <f t="shared" si="0"/>
        <v>Q78 Production Wellhead2</v>
      </c>
      <c r="B57" s="4" t="s">
        <v>278</v>
      </c>
      <c r="C57" s="4">
        <v>2</v>
      </c>
      <c r="D57" s="4" t="s">
        <v>133</v>
      </c>
      <c r="E57" s="4" t="s">
        <v>59</v>
      </c>
      <c r="F57" s="4" t="s">
        <v>196</v>
      </c>
      <c r="G57" s="4" t="s">
        <v>64</v>
      </c>
      <c r="H57" s="4" t="s">
        <v>279</v>
      </c>
      <c r="I57" s="4">
        <v>50</v>
      </c>
      <c r="J57" s="4">
        <v>60.3</v>
      </c>
      <c r="K57" s="4">
        <v>10.6</v>
      </c>
      <c r="L57" s="4">
        <v>8</v>
      </c>
      <c r="M57" s="4">
        <v>2.6</v>
      </c>
      <c r="N57" s="4">
        <v>24.52</v>
      </c>
      <c r="O57" s="4" t="s">
        <v>280</v>
      </c>
      <c r="P57" s="4">
        <v>2.14</v>
      </c>
      <c r="Q57" s="4">
        <v>0.1</v>
      </c>
      <c r="R57" s="4"/>
      <c r="S57" s="4">
        <v>2</v>
      </c>
      <c r="T57" s="4">
        <v>1</v>
      </c>
      <c r="U57" s="4" t="s">
        <v>107</v>
      </c>
      <c r="V57" s="4" t="s">
        <v>65</v>
      </c>
      <c r="W57" s="4" t="s">
        <v>66</v>
      </c>
      <c r="X57" s="4">
        <v>56.81</v>
      </c>
      <c r="Y57" s="4">
        <v>2.93</v>
      </c>
      <c r="Z57" s="4">
        <v>3.79</v>
      </c>
      <c r="AA57" s="4">
        <v>25</v>
      </c>
      <c r="AB57" s="4">
        <v>2.27</v>
      </c>
      <c r="AC57" s="4">
        <v>0.15</v>
      </c>
      <c r="AD57" s="4">
        <v>5</v>
      </c>
      <c r="AE57" s="4">
        <v>1</v>
      </c>
      <c r="AF57" s="4" t="s">
        <v>108</v>
      </c>
      <c r="AG57" s="4" t="s">
        <v>63</v>
      </c>
      <c r="AH57" s="4">
        <v>0</v>
      </c>
      <c r="AI57" s="4">
        <v>0</v>
      </c>
      <c r="AJ57" s="4">
        <v>0</v>
      </c>
      <c r="AK57" s="4">
        <v>0</v>
      </c>
      <c r="AL57" s="4" t="s">
        <v>60</v>
      </c>
      <c r="AM57" s="4">
        <v>0.5</v>
      </c>
      <c r="AN57" s="4">
        <v>0.2</v>
      </c>
      <c r="AO57" s="4">
        <v>28.41</v>
      </c>
      <c r="AP57" s="4">
        <v>0.76</v>
      </c>
      <c r="AQ57" s="4">
        <v>0</v>
      </c>
      <c r="AR57" s="4"/>
      <c r="AS57" s="4" t="s">
        <v>59</v>
      </c>
      <c r="AT57" s="4"/>
      <c r="AU57" s="4" t="s">
        <v>61</v>
      </c>
      <c r="AV57" s="4"/>
      <c r="AW57" s="4">
        <v>5.58</v>
      </c>
      <c r="AX57" s="4">
        <v>2.14</v>
      </c>
      <c r="AY57" s="4">
        <v>1.8</v>
      </c>
      <c r="AZ57" s="4" t="s">
        <v>62</v>
      </c>
      <c r="BA57" s="4" t="s">
        <v>281</v>
      </c>
      <c r="BB57" s="4"/>
      <c r="BC57" s="4">
        <v>0.10315217391304347</v>
      </c>
      <c r="BD57" s="4" t="s">
        <v>110</v>
      </c>
      <c r="BE57" s="4">
        <v>2.9300000667572021</v>
      </c>
      <c r="BF57" s="4"/>
      <c r="BG57" s="4"/>
      <c r="BH57" s="4"/>
      <c r="BJ57" s="4"/>
      <c r="BK57" s="4"/>
      <c r="BL57" s="4"/>
    </row>
    <row r="58" spans="1:64" x14ac:dyDescent="0.25">
      <c r="A58" s="2" t="str">
        <f t="shared" si="0"/>
        <v>Q83 Production Wellhead2</v>
      </c>
      <c r="B58" s="4" t="s">
        <v>282</v>
      </c>
      <c r="C58" s="4">
        <v>2</v>
      </c>
      <c r="D58" s="4" t="s">
        <v>133</v>
      </c>
      <c r="E58" s="4" t="s">
        <v>59</v>
      </c>
      <c r="F58" s="4" t="s">
        <v>196</v>
      </c>
      <c r="G58" s="4" t="s">
        <v>64</v>
      </c>
      <c r="H58" s="4" t="s">
        <v>279</v>
      </c>
      <c r="I58" s="4">
        <v>50</v>
      </c>
      <c r="J58" s="4">
        <v>60.3</v>
      </c>
      <c r="K58" s="4">
        <v>10.7</v>
      </c>
      <c r="L58" s="4">
        <v>8.4</v>
      </c>
      <c r="M58" s="4">
        <v>2.2999999999999998</v>
      </c>
      <c r="N58" s="4">
        <v>21.49</v>
      </c>
      <c r="O58" s="4" t="s">
        <v>283</v>
      </c>
      <c r="P58" s="4">
        <v>2.14</v>
      </c>
      <c r="Q58" s="4">
        <v>0.09</v>
      </c>
      <c r="R58" s="4"/>
      <c r="S58" s="4">
        <v>2</v>
      </c>
      <c r="T58" s="4">
        <v>1</v>
      </c>
      <c r="U58" s="4" t="s">
        <v>107</v>
      </c>
      <c r="V58" s="4" t="s">
        <v>65</v>
      </c>
      <c r="W58" s="4" t="s">
        <v>66</v>
      </c>
      <c r="X58" s="4">
        <v>68.599999999999994</v>
      </c>
      <c r="Y58" s="4">
        <v>3.13</v>
      </c>
      <c r="Z58" s="4">
        <v>4.1900000000000004</v>
      </c>
      <c r="AA58" s="4">
        <v>25</v>
      </c>
      <c r="AB58" s="4">
        <v>2.74</v>
      </c>
      <c r="AC58" s="4">
        <v>0.17</v>
      </c>
      <c r="AD58" s="4">
        <v>5</v>
      </c>
      <c r="AE58" s="4">
        <v>1</v>
      </c>
      <c r="AF58" s="4" t="s">
        <v>108</v>
      </c>
      <c r="AG58" s="4" t="s">
        <v>63</v>
      </c>
      <c r="AH58" s="4">
        <v>0</v>
      </c>
      <c r="AI58" s="4">
        <v>0</v>
      </c>
      <c r="AJ58" s="4">
        <v>0</v>
      </c>
      <c r="AK58" s="4">
        <v>0</v>
      </c>
      <c r="AL58" s="4" t="s">
        <v>60</v>
      </c>
      <c r="AM58" s="4">
        <v>0.5</v>
      </c>
      <c r="AN58" s="4">
        <v>0.2</v>
      </c>
      <c r="AO58" s="4">
        <v>34.299999999999997</v>
      </c>
      <c r="AP58" s="4">
        <v>0.84</v>
      </c>
      <c r="AQ58" s="4">
        <v>0</v>
      </c>
      <c r="AR58" s="4"/>
      <c r="AS58" s="4" t="s">
        <v>59</v>
      </c>
      <c r="AT58" s="4"/>
      <c r="AU58" s="4" t="s">
        <v>61</v>
      </c>
      <c r="AV58" s="4"/>
      <c r="AW58" s="4">
        <v>5.58</v>
      </c>
      <c r="AX58" s="4">
        <v>2.14</v>
      </c>
      <c r="AY58" s="4">
        <v>1.8</v>
      </c>
      <c r="AZ58" s="4" t="s">
        <v>62</v>
      </c>
      <c r="BA58" s="4" t="s">
        <v>284</v>
      </c>
      <c r="BB58" s="4"/>
      <c r="BC58" s="4">
        <v>9.1249999999999984E-2</v>
      </c>
      <c r="BD58" s="4" t="s">
        <v>110</v>
      </c>
      <c r="BE58" s="4">
        <v>3.130000114440918</v>
      </c>
      <c r="BF58" s="4"/>
      <c r="BG58" s="4"/>
      <c r="BH58" s="4"/>
      <c r="BJ58" s="4"/>
      <c r="BK58" s="4"/>
      <c r="BL58" s="4"/>
    </row>
    <row r="59" spans="1:64" x14ac:dyDescent="0.25">
      <c r="A59" s="2" t="str">
        <f t="shared" si="0"/>
        <v>Y73M Production Wellhead2</v>
      </c>
      <c r="B59" s="4" t="s">
        <v>285</v>
      </c>
      <c r="C59" s="4">
        <v>2</v>
      </c>
      <c r="D59" s="4" t="s">
        <v>122</v>
      </c>
      <c r="E59" s="4" t="s">
        <v>59</v>
      </c>
      <c r="F59" s="4" t="s">
        <v>170</v>
      </c>
      <c r="G59" s="4" t="s">
        <v>64</v>
      </c>
      <c r="H59" s="4" t="s">
        <v>286</v>
      </c>
      <c r="I59" s="4">
        <v>50</v>
      </c>
      <c r="J59" s="4">
        <v>60.3</v>
      </c>
      <c r="K59" s="4">
        <v>9.1</v>
      </c>
      <c r="L59" s="4">
        <v>7.1</v>
      </c>
      <c r="M59" s="4">
        <v>2</v>
      </c>
      <c r="N59" s="4">
        <v>21.97</v>
      </c>
      <c r="O59" s="4" t="s">
        <v>287</v>
      </c>
      <c r="P59" s="4">
        <v>2.14</v>
      </c>
      <c r="Q59" s="4">
        <v>7.0000000000000007E-2</v>
      </c>
      <c r="R59" s="4"/>
      <c r="S59" s="4">
        <v>2</v>
      </c>
      <c r="T59" s="4">
        <v>1</v>
      </c>
      <c r="U59" s="4" t="s">
        <v>107</v>
      </c>
      <c r="V59" s="4" t="s">
        <v>65</v>
      </c>
      <c r="W59" s="4" t="s">
        <v>66</v>
      </c>
      <c r="X59" s="4">
        <v>63.07</v>
      </c>
      <c r="Y59" s="4">
        <v>2.48</v>
      </c>
      <c r="Z59" s="4">
        <v>3.12</v>
      </c>
      <c r="AA59" s="4">
        <v>25</v>
      </c>
      <c r="AB59" s="4">
        <v>2.52</v>
      </c>
      <c r="AC59" s="4">
        <v>0.12</v>
      </c>
      <c r="AD59" s="4">
        <v>5</v>
      </c>
      <c r="AE59" s="4">
        <v>1</v>
      </c>
      <c r="AF59" s="4" t="s">
        <v>108</v>
      </c>
      <c r="AG59" s="4" t="s">
        <v>63</v>
      </c>
      <c r="AH59" s="4">
        <v>0</v>
      </c>
      <c r="AI59" s="4">
        <v>0</v>
      </c>
      <c r="AJ59" s="4">
        <v>0</v>
      </c>
      <c r="AK59" s="4">
        <v>0</v>
      </c>
      <c r="AL59" s="4" t="s">
        <v>60</v>
      </c>
      <c r="AM59" s="4">
        <v>0.5</v>
      </c>
      <c r="AN59" s="4">
        <v>0.2</v>
      </c>
      <c r="AO59" s="4">
        <v>31.54</v>
      </c>
      <c r="AP59" s="4">
        <v>0.62</v>
      </c>
      <c r="AQ59" s="4">
        <v>0</v>
      </c>
      <c r="AR59" s="4"/>
      <c r="AS59" s="4" t="s">
        <v>59</v>
      </c>
      <c r="AT59" s="4"/>
      <c r="AU59" s="4" t="s">
        <v>61</v>
      </c>
      <c r="AV59" s="4"/>
      <c r="AW59" s="4">
        <v>5.58</v>
      </c>
      <c r="AX59" s="4">
        <v>2.14</v>
      </c>
      <c r="AY59" s="4">
        <v>1.8</v>
      </c>
      <c r="AZ59" s="4" t="s">
        <v>62</v>
      </c>
      <c r="BA59" s="4" t="s">
        <v>288</v>
      </c>
      <c r="BB59" s="4"/>
      <c r="BC59" s="4">
        <v>7.8638371216201666E-2</v>
      </c>
      <c r="BD59" s="4" t="s">
        <v>110</v>
      </c>
      <c r="BE59" s="4">
        <v>2.4800000190734863</v>
      </c>
      <c r="BF59" s="4"/>
      <c r="BG59" s="4"/>
      <c r="BH59" s="4"/>
      <c r="BJ59" s="4"/>
      <c r="BK59" s="4"/>
      <c r="BL59" s="4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4E09589-C3C7-4B36-84AB-868735B69E66}">
            <xm:f>B1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B1:BH11 BJ1:BL11</xm:sqref>
        </x14:conditionalFormatting>
        <x14:conditionalFormatting xmlns:xm="http://schemas.microsoft.com/office/excel/2006/main">
          <x14:cfRule type="expression" priority="1" stopIfTrue="1" id="{EBB038CA-B62D-4FB4-8B5C-F6DBF18E0AD6}">
            <xm:f>B2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AA12:BH59 B2:Z59 AA2:BE48 BJ2:BL59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G1000"/>
  <sheetViews>
    <sheetView tabSelected="1" topLeftCell="I1" zoomScaleNormal="100" zoomScalePageLayoutView="40" workbookViewId="0">
      <selection activeCell="V17" sqref="V17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3.5703125" customWidth="1"/>
    <col min="5" max="5" width="11.42578125" customWidth="1"/>
    <col min="6" max="6" width="10.28515625" customWidth="1"/>
    <col min="9" max="9" width="10.7109375" bestFit="1" customWidth="1"/>
    <col min="19" max="19" width="9.140625" style="15"/>
    <col min="21" max="21" width="28.85546875" bestFit="1" customWidth="1"/>
    <col min="22" max="22" width="14.42578125" style="61" bestFit="1" customWidth="1"/>
    <col min="23" max="23" width="12" style="62" bestFit="1" customWidth="1"/>
    <col min="24" max="24" width="11.7109375" style="62" customWidth="1"/>
    <col min="25" max="25" width="9.140625" style="3"/>
    <col min="26" max="26" width="12.7109375" bestFit="1" customWidth="1"/>
    <col min="27" max="28" width="9.28515625" bestFit="1" customWidth="1"/>
    <col min="30" max="30" width="12" bestFit="1" customWidth="1"/>
    <col min="31" max="32" width="9.28515625" bestFit="1" customWidth="1"/>
  </cols>
  <sheetData>
    <row r="1" spans="1:33" ht="15.75" thickBot="1" x14ac:dyDescent="0.3">
      <c r="A1" s="54"/>
      <c r="B1" s="55"/>
      <c r="C1" s="55"/>
      <c r="D1" s="55"/>
      <c r="E1" s="48"/>
      <c r="F1" s="48"/>
      <c r="G1" s="48"/>
      <c r="H1" s="48"/>
      <c r="I1" s="55"/>
      <c r="J1" s="55"/>
      <c r="K1" s="55"/>
      <c r="L1" s="55"/>
      <c r="M1" s="55"/>
      <c r="N1" s="55"/>
      <c r="O1" s="55"/>
      <c r="P1" s="55"/>
      <c r="Q1" s="55"/>
      <c r="R1" s="56"/>
      <c r="S1" s="53"/>
      <c r="U1" s="50" t="s">
        <v>292</v>
      </c>
      <c r="V1" s="60" t="s">
        <v>82</v>
      </c>
      <c r="W1" s="59" t="s">
        <v>80</v>
      </c>
      <c r="X1" s="59" t="s">
        <v>81</v>
      </c>
    </row>
    <row r="2" spans="1:33" x14ac:dyDescent="0.25">
      <c r="A2" s="44"/>
      <c r="B2" s="45"/>
      <c r="C2" s="45"/>
      <c r="D2" s="45"/>
      <c r="E2" s="48"/>
      <c r="F2" s="48"/>
      <c r="G2" s="48"/>
      <c r="H2" s="48"/>
      <c r="I2" s="45"/>
      <c r="J2" s="45"/>
      <c r="K2" s="45"/>
      <c r="L2" s="45"/>
      <c r="M2" s="45"/>
      <c r="N2" s="45"/>
      <c r="O2" s="45"/>
      <c r="P2" s="45"/>
      <c r="Q2" s="45"/>
      <c r="R2" s="46"/>
      <c r="S2" s="45"/>
      <c r="U2" s="98" t="s">
        <v>302</v>
      </c>
      <c r="V2" s="99">
        <v>42156</v>
      </c>
      <c r="W2" s="98">
        <v>2.2000000000000002</v>
      </c>
      <c r="X2" s="98">
        <v>1.1587301587301588</v>
      </c>
      <c r="Z2" s="35"/>
      <c r="AA2" s="36"/>
      <c r="AB2" s="36"/>
      <c r="AC2" s="37"/>
      <c r="AD2" s="35"/>
      <c r="AE2" s="36"/>
      <c r="AF2" s="36"/>
      <c r="AG2" s="37"/>
    </row>
    <row r="3" spans="1:33" x14ac:dyDescent="0.25">
      <c r="A3" s="44"/>
      <c r="B3" s="45"/>
      <c r="C3" s="45"/>
      <c r="D3" s="45"/>
      <c r="E3" s="48"/>
      <c r="F3" s="48"/>
      <c r="G3" s="48"/>
      <c r="H3" s="48"/>
      <c r="I3" s="45"/>
      <c r="J3" s="45"/>
      <c r="K3" s="45"/>
      <c r="L3" s="45"/>
      <c r="M3" s="45"/>
      <c r="N3" s="45"/>
      <c r="O3" s="45"/>
      <c r="P3" s="45"/>
      <c r="Q3" s="45"/>
      <c r="R3" s="46"/>
      <c r="S3" s="45"/>
      <c r="U3" s="98" t="s">
        <v>302</v>
      </c>
      <c r="V3" s="99">
        <v>42578</v>
      </c>
      <c r="W3" s="98">
        <v>11.1</v>
      </c>
      <c r="X3" s="98">
        <v>0</v>
      </c>
      <c r="Z3" s="17"/>
      <c r="AA3" s="15"/>
      <c r="AB3" s="15"/>
      <c r="AC3" s="16"/>
      <c r="AD3" s="19" t="s">
        <v>98</v>
      </c>
      <c r="AE3" s="29"/>
      <c r="AF3" s="15"/>
      <c r="AG3" s="16"/>
    </row>
    <row r="4" spans="1:33" x14ac:dyDescent="0.25">
      <c r="A4" s="47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9"/>
      <c r="S4" s="48"/>
      <c r="U4" t="s">
        <v>303</v>
      </c>
      <c r="V4" s="38">
        <v>42157</v>
      </c>
      <c r="W4">
        <v>11.1</v>
      </c>
      <c r="X4">
        <v>0</v>
      </c>
      <c r="Z4" s="77" t="s">
        <v>82</v>
      </c>
      <c r="AA4" s="78" t="s">
        <v>80</v>
      </c>
      <c r="AB4" s="79" t="s">
        <v>81</v>
      </c>
      <c r="AC4" s="16"/>
      <c r="AD4" s="18" t="s">
        <v>82</v>
      </c>
      <c r="AE4" s="13" t="s">
        <v>80</v>
      </c>
      <c r="AF4" s="7" t="s">
        <v>81</v>
      </c>
      <c r="AG4" s="16"/>
    </row>
    <row r="5" spans="1:33" x14ac:dyDescent="0.25">
      <c r="A5" s="70" t="s">
        <v>89</v>
      </c>
      <c r="B5" s="71"/>
      <c r="C5" s="63" t="s">
        <v>111</v>
      </c>
      <c r="D5" s="63"/>
      <c r="E5" s="48"/>
      <c r="F5" s="48"/>
      <c r="G5" s="48"/>
      <c r="H5" s="48"/>
      <c r="I5" s="15"/>
      <c r="J5" s="15"/>
      <c r="K5" s="15"/>
      <c r="L5" s="15"/>
      <c r="M5" s="15"/>
      <c r="N5" s="15"/>
      <c r="O5" s="15"/>
      <c r="P5" s="15"/>
      <c r="Q5" s="15"/>
      <c r="R5" s="16"/>
      <c r="U5" t="s">
        <v>303</v>
      </c>
      <c r="V5" s="38">
        <v>42157</v>
      </c>
      <c r="W5">
        <v>11.1</v>
      </c>
      <c r="X5">
        <v>0</v>
      </c>
      <c r="Z5" s="80">
        <v>42845</v>
      </c>
      <c r="AA5" s="81">
        <v>0</v>
      </c>
      <c r="AB5" s="82"/>
      <c r="AC5" s="16"/>
      <c r="AD5" s="32">
        <v>42161</v>
      </c>
      <c r="AE5" s="8">
        <v>11.1</v>
      </c>
      <c r="AF5" s="33"/>
      <c r="AG5" s="16"/>
    </row>
    <row r="6" spans="1:33" x14ac:dyDescent="0.25">
      <c r="A6" s="70" t="s">
        <v>90</v>
      </c>
      <c r="B6" s="71"/>
      <c r="C6" s="63">
        <v>1</v>
      </c>
      <c r="D6" s="63"/>
      <c r="E6" s="48"/>
      <c r="F6" s="48"/>
      <c r="G6" s="48"/>
      <c r="H6" s="48"/>
      <c r="I6" s="15"/>
      <c r="J6" s="15"/>
      <c r="K6" s="15"/>
      <c r="L6" s="15"/>
      <c r="M6" s="15"/>
      <c r="N6" s="15"/>
      <c r="O6" s="15"/>
      <c r="P6" s="15"/>
      <c r="Q6" s="15"/>
      <c r="R6" s="16"/>
      <c r="U6" s="96" t="s">
        <v>297</v>
      </c>
      <c r="V6" s="97">
        <v>42447</v>
      </c>
      <c r="W6" s="96">
        <v>3</v>
      </c>
      <c r="X6" s="96">
        <v>1</v>
      </c>
      <c r="Z6" s="80">
        <v>42845</v>
      </c>
      <c r="AA6" s="81">
        <v>11.1</v>
      </c>
      <c r="AB6" s="82"/>
      <c r="AC6" s="16"/>
      <c r="AD6" s="32">
        <v>42161</v>
      </c>
      <c r="AE6" s="8">
        <v>11.1</v>
      </c>
      <c r="AF6" s="34"/>
      <c r="AG6" s="16"/>
    </row>
    <row r="7" spans="1:33" x14ac:dyDescent="0.25">
      <c r="A7" s="70" t="s">
        <v>87</v>
      </c>
      <c r="B7" s="71"/>
      <c r="C7" s="63" t="s">
        <v>296</v>
      </c>
      <c r="D7" s="63"/>
      <c r="E7" s="48"/>
      <c r="F7" s="48"/>
      <c r="G7" s="48"/>
      <c r="H7" s="48"/>
      <c r="I7" s="15"/>
      <c r="J7" s="15"/>
      <c r="K7" s="15"/>
      <c r="L7" s="15"/>
      <c r="M7" s="15"/>
      <c r="N7" s="15"/>
      <c r="O7" s="15"/>
      <c r="P7" s="15"/>
      <c r="Q7" s="15"/>
      <c r="R7" s="16"/>
      <c r="U7" s="96" t="s">
        <v>297</v>
      </c>
      <c r="V7" s="97">
        <v>42845</v>
      </c>
      <c r="W7" s="96">
        <v>4.0904109589041093</v>
      </c>
      <c r="X7" s="96">
        <v>1</v>
      </c>
      <c r="Z7" s="28"/>
      <c r="AA7" s="29"/>
      <c r="AB7" s="15"/>
      <c r="AC7" s="16"/>
      <c r="AD7" s="51"/>
      <c r="AE7" s="29"/>
      <c r="AF7" s="48"/>
      <c r="AG7" s="16"/>
    </row>
    <row r="8" spans="1:33" x14ac:dyDescent="0.25">
      <c r="A8" s="68" t="s">
        <v>86</v>
      </c>
      <c r="B8" s="69"/>
      <c r="C8" s="57" t="str">
        <f>VLOOKUP($C$5&amp;$C$6,CML!$A$1:$BL$65535,D8,FALSE)</f>
        <v>2015-06-01</v>
      </c>
      <c r="D8" s="5">
        <v>8</v>
      </c>
      <c r="E8" s="48"/>
      <c r="F8" s="48"/>
      <c r="G8" s="48"/>
      <c r="H8" s="48"/>
      <c r="I8" s="15"/>
      <c r="J8" s="15"/>
      <c r="K8" s="15"/>
      <c r="L8" s="15"/>
      <c r="M8" s="74"/>
      <c r="N8" s="74"/>
      <c r="O8" s="75"/>
      <c r="P8" s="75"/>
      <c r="Q8" s="30"/>
      <c r="R8" s="52"/>
      <c r="S8" s="30"/>
      <c r="U8" s="96" t="s">
        <v>297</v>
      </c>
      <c r="V8" s="97">
        <v>43534</v>
      </c>
      <c r="W8" s="96">
        <v>8.9599999999999991</v>
      </c>
      <c r="X8" s="96">
        <v>2</v>
      </c>
      <c r="Z8" s="14"/>
      <c r="AA8" s="15"/>
      <c r="AB8" s="15"/>
      <c r="AC8" s="16"/>
      <c r="AD8" s="28"/>
      <c r="AE8" s="29"/>
      <c r="AF8" s="15"/>
      <c r="AG8" s="16"/>
    </row>
    <row r="9" spans="1:33" x14ac:dyDescent="0.25">
      <c r="A9" s="68" t="s">
        <v>294</v>
      </c>
      <c r="B9" s="69"/>
      <c r="C9" s="57">
        <f>VLOOKUP($C$5&amp;$C$6,CML!$A$1:$BL$65535,D9,FALSE)</f>
        <v>2.2000000000000002</v>
      </c>
      <c r="D9" s="5">
        <v>13</v>
      </c>
      <c r="E9" s="48"/>
      <c r="F9" s="48"/>
      <c r="G9" s="48"/>
      <c r="H9" s="48"/>
      <c r="I9" s="15"/>
      <c r="J9" s="15"/>
      <c r="K9" s="15"/>
      <c r="L9" s="15"/>
      <c r="M9" s="74"/>
      <c r="N9" s="74"/>
      <c r="O9" s="75"/>
      <c r="P9" s="75"/>
      <c r="Q9" s="30"/>
      <c r="R9" s="52"/>
      <c r="S9" s="30"/>
      <c r="U9" s="2" t="s">
        <v>301</v>
      </c>
      <c r="V9" s="76">
        <v>42156</v>
      </c>
      <c r="W9" s="2">
        <v>2.2000000000000002</v>
      </c>
      <c r="X9" s="2">
        <v>1</v>
      </c>
      <c r="Z9" s="83" t="s">
        <v>84</v>
      </c>
      <c r="AA9" s="84"/>
      <c r="AB9" s="84"/>
      <c r="AC9" s="16"/>
      <c r="AD9" s="19" t="s">
        <v>289</v>
      </c>
      <c r="AE9" s="29"/>
      <c r="AF9" s="15"/>
      <c r="AG9" s="16"/>
    </row>
    <row r="10" spans="1:33" x14ac:dyDescent="0.25">
      <c r="A10" s="64" t="s">
        <v>88</v>
      </c>
      <c r="B10" s="65"/>
      <c r="C10" s="57">
        <f>VLOOKUP($C$5&amp;$C$6,CML!$A$1:$BL$65535,D10,FALSE)</f>
        <v>11.1</v>
      </c>
      <c r="D10" s="5">
        <v>11</v>
      </c>
      <c r="E10" s="48"/>
      <c r="F10" s="48"/>
      <c r="G10" s="48"/>
      <c r="H10" s="48"/>
      <c r="I10" s="15"/>
      <c r="J10" s="15"/>
      <c r="K10" s="15"/>
      <c r="L10" s="15"/>
      <c r="M10" s="74"/>
      <c r="N10" s="74"/>
      <c r="O10" s="75"/>
      <c r="P10" s="75"/>
      <c r="Q10" s="15"/>
      <c r="R10" s="16"/>
      <c r="U10" s="2" t="s">
        <v>301</v>
      </c>
      <c r="V10" s="76">
        <v>44622</v>
      </c>
      <c r="W10" s="2">
        <v>11.1</v>
      </c>
      <c r="X10" s="2">
        <v>1</v>
      </c>
      <c r="Z10" s="77" t="s">
        <v>82</v>
      </c>
      <c r="AA10" s="78" t="s">
        <v>80</v>
      </c>
      <c r="AB10" s="79" t="s">
        <v>81</v>
      </c>
      <c r="AC10" s="16"/>
      <c r="AD10" s="18" t="s">
        <v>82</v>
      </c>
      <c r="AE10" s="13" t="s">
        <v>80</v>
      </c>
      <c r="AF10" s="7" t="s">
        <v>81</v>
      </c>
      <c r="AG10" s="16"/>
    </row>
    <row r="11" spans="1:33" x14ac:dyDescent="0.25">
      <c r="A11" s="72" t="s">
        <v>93</v>
      </c>
      <c r="B11" s="73"/>
      <c r="C11" s="57">
        <f>VLOOKUP($C$5&amp;$C$6,CML!$A$1:$BL$65535,D11,FALSE)</f>
        <v>4.91</v>
      </c>
      <c r="D11" s="5">
        <v>26</v>
      </c>
      <c r="E11" s="40"/>
      <c r="F11" s="15"/>
      <c r="G11" s="15"/>
      <c r="H11" s="15"/>
      <c r="I11" s="15"/>
      <c r="J11" s="15"/>
      <c r="K11" s="15"/>
      <c r="L11" s="15"/>
      <c r="M11" s="74"/>
      <c r="N11" s="74"/>
      <c r="O11" s="75"/>
      <c r="P11" s="75"/>
      <c r="Q11" s="15"/>
      <c r="R11" s="16"/>
      <c r="U11" t="s">
        <v>300</v>
      </c>
      <c r="V11" s="38">
        <v>44622</v>
      </c>
      <c r="W11">
        <v>0</v>
      </c>
      <c r="X11">
        <v>0</v>
      </c>
      <c r="Z11" s="80">
        <v>46735</v>
      </c>
      <c r="AA11" s="81">
        <v>0</v>
      </c>
      <c r="AB11" s="82"/>
      <c r="AC11" s="16"/>
      <c r="AD11" s="32">
        <v>42156</v>
      </c>
      <c r="AE11" s="8">
        <v>8.9599999999999991</v>
      </c>
      <c r="AF11" s="33"/>
      <c r="AG11" s="16"/>
    </row>
    <row r="12" spans="1:33" x14ac:dyDescent="0.25">
      <c r="A12" s="72" t="s">
        <v>94</v>
      </c>
      <c r="B12" s="73"/>
      <c r="C12" s="57">
        <f>VLOOKUP($C$5&amp;$C$6,CML!$A$1:$BL$65535,D12,FALSE)</f>
        <v>1</v>
      </c>
      <c r="D12" s="5">
        <v>20</v>
      </c>
      <c r="E12" s="48"/>
      <c r="F12" s="15"/>
      <c r="G12" s="15"/>
      <c r="H12" s="15"/>
      <c r="I12" s="15"/>
      <c r="J12" s="15"/>
      <c r="K12" s="15"/>
      <c r="L12" s="15"/>
      <c r="M12" s="74"/>
      <c r="N12" s="74"/>
      <c r="O12" s="75"/>
      <c r="P12" s="75"/>
      <c r="Q12" s="15"/>
      <c r="R12" s="16"/>
      <c r="U12" t="s">
        <v>300</v>
      </c>
      <c r="V12" s="38">
        <v>44622</v>
      </c>
      <c r="W12">
        <v>11.1</v>
      </c>
      <c r="X12">
        <v>0</v>
      </c>
      <c r="Z12" s="80">
        <v>46735</v>
      </c>
      <c r="AA12" s="81">
        <v>11.1</v>
      </c>
      <c r="AB12" s="82"/>
      <c r="AC12" s="16"/>
      <c r="AD12" s="32">
        <v>46735</v>
      </c>
      <c r="AE12" s="8">
        <v>8.9599999999999991</v>
      </c>
      <c r="AF12" s="34"/>
      <c r="AG12" s="16"/>
    </row>
    <row r="13" spans="1:33" x14ac:dyDescent="0.25">
      <c r="A13" s="72" t="s">
        <v>99</v>
      </c>
      <c r="B13" s="73"/>
      <c r="C13" s="57">
        <f>VLOOKUP($C$5&amp;$C$6,CML!$A$1:$BL$65535,D13,FALSE)</f>
        <v>1.1587301587301588</v>
      </c>
      <c r="D13" s="5">
        <v>55</v>
      </c>
      <c r="E13" s="48"/>
      <c r="F13" s="15"/>
      <c r="G13" s="15"/>
      <c r="H13" s="15"/>
      <c r="I13" s="15"/>
      <c r="J13" s="15"/>
      <c r="K13" s="15"/>
      <c r="L13" s="15"/>
      <c r="M13" s="41"/>
      <c r="N13" s="41"/>
      <c r="O13" s="30"/>
      <c r="P13" s="30"/>
      <c r="Q13" s="15"/>
      <c r="R13" s="16"/>
      <c r="U13" t="s">
        <v>304</v>
      </c>
      <c r="V13" s="38">
        <v>42156</v>
      </c>
      <c r="W13">
        <v>8.9599999999999991</v>
      </c>
      <c r="X13">
        <v>0</v>
      </c>
      <c r="Z13" s="14"/>
      <c r="AA13" s="15"/>
      <c r="AB13" s="15"/>
      <c r="AC13" s="16"/>
      <c r="AD13" s="28"/>
      <c r="AE13" s="29"/>
      <c r="AF13" s="15"/>
      <c r="AG13" s="16"/>
    </row>
    <row r="14" spans="1:33" x14ac:dyDescent="0.25">
      <c r="A14" s="72" t="s">
        <v>100</v>
      </c>
      <c r="B14" s="73"/>
      <c r="C14" s="57">
        <f>VLOOKUP($C$5&amp;$C$6,CML!$A$1:$BL$65535,D14,FALSE)</f>
        <v>5.83</v>
      </c>
      <c r="D14" s="5">
        <v>24</v>
      </c>
      <c r="E14" s="48"/>
      <c r="F14" s="15"/>
      <c r="G14" s="15"/>
      <c r="H14" s="15"/>
      <c r="I14" s="15"/>
      <c r="J14" s="15"/>
      <c r="K14" s="15"/>
      <c r="L14" s="15"/>
      <c r="M14" s="41"/>
      <c r="N14" s="41"/>
      <c r="O14" s="30"/>
      <c r="P14" s="30"/>
      <c r="Q14" s="15"/>
      <c r="R14" s="16"/>
      <c r="U14" t="s">
        <v>304</v>
      </c>
      <c r="V14" s="38">
        <v>43534</v>
      </c>
      <c r="W14">
        <v>8.9599999999999991</v>
      </c>
      <c r="X14">
        <v>0</v>
      </c>
      <c r="Z14" s="83" t="s">
        <v>85</v>
      </c>
      <c r="AA14" s="84"/>
      <c r="AB14" s="84"/>
      <c r="AC14" s="16"/>
      <c r="AD14" s="39" t="s">
        <v>290</v>
      </c>
      <c r="AG14" s="16"/>
    </row>
    <row r="15" spans="1:33" x14ac:dyDescent="0.25">
      <c r="A15" s="66" t="s">
        <v>101</v>
      </c>
      <c r="B15" s="67"/>
      <c r="C15" s="57">
        <f>VLOOKUP($C$5&amp;$C$6,CML!$A$1:$BL$65535,D15,FALSE)</f>
        <v>2.14</v>
      </c>
      <c r="D15" s="5">
        <v>16</v>
      </c>
      <c r="E15" s="48"/>
      <c r="F15" s="15"/>
      <c r="G15" s="15"/>
      <c r="H15" s="15"/>
      <c r="I15" s="15"/>
      <c r="J15" s="15"/>
      <c r="K15" s="15"/>
      <c r="L15" s="15"/>
      <c r="M15" s="41"/>
      <c r="N15" s="41"/>
      <c r="O15" s="30"/>
      <c r="P15" s="30"/>
      <c r="Q15" s="15"/>
      <c r="R15" s="16"/>
      <c r="U15" t="s">
        <v>305</v>
      </c>
      <c r="V15" s="38">
        <v>42156</v>
      </c>
      <c r="W15">
        <v>11.1</v>
      </c>
      <c r="X15">
        <v>0</v>
      </c>
      <c r="Z15" s="77" t="s">
        <v>82</v>
      </c>
      <c r="AA15" s="78" t="s">
        <v>80</v>
      </c>
      <c r="AB15" s="79" t="s">
        <v>81</v>
      </c>
      <c r="AC15" s="16"/>
      <c r="AD15" s="18" t="s">
        <v>82</v>
      </c>
      <c r="AE15" s="13" t="s">
        <v>80</v>
      </c>
      <c r="AF15" s="7" t="s">
        <v>81</v>
      </c>
      <c r="AG15" s="16"/>
    </row>
    <row r="16" spans="1:33" x14ac:dyDescent="0.25">
      <c r="A16" s="66" t="s">
        <v>295</v>
      </c>
      <c r="B16" s="67"/>
      <c r="C16" s="57" t="str">
        <f>VLOOKUP($C$5&amp;$C$6,CML!$A$1:$BL$65535,D16,FALSE)</f>
        <v>2022-03-02</v>
      </c>
      <c r="D16" s="5">
        <v>53</v>
      </c>
      <c r="E16" s="48"/>
      <c r="F16" s="15"/>
      <c r="G16" s="15"/>
      <c r="H16" s="15"/>
      <c r="I16" s="15"/>
      <c r="J16" s="15"/>
      <c r="K16" s="15"/>
      <c r="L16" s="15"/>
      <c r="M16" s="41"/>
      <c r="N16" s="41"/>
      <c r="O16" s="30"/>
      <c r="P16" s="30"/>
      <c r="Q16" s="15"/>
      <c r="R16" s="16"/>
      <c r="U16" t="s">
        <v>305</v>
      </c>
      <c r="V16" s="38">
        <v>44622</v>
      </c>
      <c r="W16">
        <v>11.1</v>
      </c>
      <c r="X16">
        <v>0</v>
      </c>
      <c r="Z16" s="80">
        <v>42156</v>
      </c>
      <c r="AA16" s="81">
        <v>11.1</v>
      </c>
      <c r="AB16" s="82"/>
      <c r="AC16" s="16"/>
      <c r="AD16" s="20">
        <v>42156</v>
      </c>
      <c r="AE16" s="11">
        <v>0.5</v>
      </c>
      <c r="AF16" s="12">
        <v>0.12</v>
      </c>
      <c r="AG16" s="16"/>
    </row>
    <row r="17" spans="1:33" x14ac:dyDescent="0.25">
      <c r="A17" s="14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41"/>
      <c r="N17" s="41"/>
      <c r="O17" s="30"/>
      <c r="P17" s="30"/>
      <c r="Q17" s="15"/>
      <c r="R17" s="16"/>
      <c r="U17" t="s">
        <v>299</v>
      </c>
      <c r="V17" s="38">
        <v>43534</v>
      </c>
      <c r="W17">
        <v>11.1</v>
      </c>
      <c r="X17">
        <v>7.0676183470187075E-3</v>
      </c>
      <c r="Z17" s="80">
        <v>46735</v>
      </c>
      <c r="AA17" s="81">
        <v>11.1</v>
      </c>
      <c r="AB17" s="82"/>
      <c r="AC17" s="16"/>
      <c r="AD17" s="20">
        <v>42845</v>
      </c>
      <c r="AE17" s="11">
        <v>0.72652054794520549</v>
      </c>
      <c r="AF17" s="12">
        <v>0</v>
      </c>
      <c r="AG17" s="16"/>
    </row>
    <row r="18" spans="1:33" x14ac:dyDescent="0.25">
      <c r="A18" s="14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U18" t="s">
        <v>299</v>
      </c>
      <c r="V18" s="38">
        <v>43534</v>
      </c>
      <c r="W18">
        <v>11.1</v>
      </c>
      <c r="X18">
        <v>0</v>
      </c>
      <c r="Z18" s="14"/>
      <c r="AA18" s="15"/>
      <c r="AB18" s="15"/>
      <c r="AC18" s="16"/>
      <c r="AD18" s="20">
        <v>43676</v>
      </c>
      <c r="AE18" s="11">
        <v>1</v>
      </c>
      <c r="AF18" s="12">
        <v>0.12</v>
      </c>
      <c r="AG18" s="16"/>
    </row>
    <row r="19" spans="1:33" x14ac:dyDescent="0.25">
      <c r="A19" s="14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6"/>
      <c r="U19" t="s">
        <v>298</v>
      </c>
      <c r="V19" s="38">
        <v>43534</v>
      </c>
      <c r="W19">
        <v>0</v>
      </c>
      <c r="X19">
        <v>0</v>
      </c>
      <c r="Z19" s="85" t="s">
        <v>92</v>
      </c>
      <c r="AA19" s="86"/>
      <c r="AB19" s="86"/>
      <c r="AC19" s="16"/>
      <c r="AD19" s="20">
        <v>44892</v>
      </c>
      <c r="AE19" s="11">
        <v>2</v>
      </c>
      <c r="AF19" s="12">
        <v>0.3</v>
      </c>
      <c r="AG19" s="16"/>
    </row>
    <row r="20" spans="1:33" x14ac:dyDescent="0.25">
      <c r="A20" s="14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6"/>
      <c r="U20" t="s">
        <v>298</v>
      </c>
      <c r="V20" s="38">
        <v>43534</v>
      </c>
      <c r="W20">
        <v>11.1</v>
      </c>
      <c r="X20">
        <v>0</v>
      </c>
      <c r="Z20" s="87" t="s">
        <v>82</v>
      </c>
      <c r="AA20" s="88" t="s">
        <v>80</v>
      </c>
      <c r="AB20" s="89" t="s">
        <v>81</v>
      </c>
      <c r="AC20" s="16"/>
      <c r="AD20" s="20">
        <v>45257</v>
      </c>
      <c r="AE20" s="11">
        <v>3</v>
      </c>
      <c r="AF20" s="12">
        <v>1</v>
      </c>
      <c r="AG20" s="16"/>
    </row>
    <row r="21" spans="1:33" x14ac:dyDescent="0.25">
      <c r="A21" s="19" t="s">
        <v>83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6"/>
      <c r="U21" t="s">
        <v>293</v>
      </c>
      <c r="V21" s="38">
        <v>42845</v>
      </c>
      <c r="W21">
        <v>0</v>
      </c>
      <c r="X21">
        <v>0</v>
      </c>
      <c r="Z21" s="90">
        <v>42845</v>
      </c>
      <c r="AA21" s="91">
        <v>0.72652054794520549</v>
      </c>
      <c r="AB21" s="91">
        <v>0.97334704370179947</v>
      </c>
      <c r="AC21" s="16"/>
      <c r="AD21" s="20">
        <v>46735</v>
      </c>
      <c r="AE21" s="11">
        <v>11.1</v>
      </c>
      <c r="AF21" s="12">
        <v>2</v>
      </c>
      <c r="AG21" s="16"/>
    </row>
    <row r="22" spans="1:33" x14ac:dyDescent="0.25">
      <c r="A22" s="24" t="s">
        <v>72</v>
      </c>
      <c r="B22" s="7" t="s">
        <v>70</v>
      </c>
      <c r="C22" s="7" t="s">
        <v>74</v>
      </c>
      <c r="D22" s="7" t="s">
        <v>71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6"/>
      <c r="U22" t="s">
        <v>293</v>
      </c>
      <c r="V22" s="38">
        <v>42845</v>
      </c>
      <c r="W22">
        <v>11.1</v>
      </c>
      <c r="X22">
        <v>0</v>
      </c>
      <c r="Z22" s="90">
        <v>46735</v>
      </c>
      <c r="AA22" s="91">
        <v>11.1</v>
      </c>
      <c r="AB22" s="92"/>
      <c r="AC22" s="16"/>
      <c r="AD22" s="20"/>
      <c r="AE22" s="11"/>
      <c r="AF22" s="12"/>
      <c r="AG22" s="16"/>
    </row>
    <row r="23" spans="1:33" x14ac:dyDescent="0.25">
      <c r="A23" s="25" t="s">
        <v>73</v>
      </c>
      <c r="B23" s="5">
        <v>0</v>
      </c>
      <c r="C23" s="5">
        <f>3/25</f>
        <v>0.12</v>
      </c>
      <c r="D23" s="6" t="s">
        <v>75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6"/>
      <c r="V23"/>
      <c r="W23"/>
      <c r="X23"/>
      <c r="Z23" s="28"/>
      <c r="AA23" s="29"/>
      <c r="AB23" s="15"/>
      <c r="AC23" s="16"/>
      <c r="AD23" s="20"/>
      <c r="AE23" s="11"/>
      <c r="AF23" s="12"/>
      <c r="AG23" s="16"/>
    </row>
    <row r="24" spans="1:33" x14ac:dyDescent="0.25">
      <c r="A24" s="25" t="s">
        <v>73</v>
      </c>
      <c r="B24" s="5">
        <v>1</v>
      </c>
      <c r="C24" s="5">
        <v>0.3</v>
      </c>
      <c r="D24" s="6" t="s">
        <v>76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6"/>
      <c r="V24"/>
      <c r="W24"/>
      <c r="X24"/>
      <c r="Z24" s="83" t="s">
        <v>95</v>
      </c>
      <c r="AA24" s="84"/>
      <c r="AB24" s="84"/>
      <c r="AC24" s="16"/>
      <c r="AD24" s="20"/>
      <c r="AE24" s="11"/>
      <c r="AF24" s="12"/>
      <c r="AG24" s="16"/>
    </row>
    <row r="25" spans="1:33" x14ac:dyDescent="0.25">
      <c r="A25" s="25" t="s">
        <v>73</v>
      </c>
      <c r="B25" s="5">
        <v>2</v>
      </c>
      <c r="C25" s="5">
        <v>1</v>
      </c>
      <c r="D25" s="6" t="s">
        <v>77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6"/>
      <c r="V25"/>
      <c r="W25"/>
      <c r="X25"/>
      <c r="Z25" s="77" t="s">
        <v>82</v>
      </c>
      <c r="AA25" s="78" t="s">
        <v>80</v>
      </c>
      <c r="AB25" s="79" t="s">
        <v>81</v>
      </c>
      <c r="AC25" s="16"/>
      <c r="AD25" s="20"/>
      <c r="AE25" s="11"/>
      <c r="AF25" s="12"/>
      <c r="AG25" s="16"/>
    </row>
    <row r="26" spans="1:33" x14ac:dyDescent="0.25">
      <c r="A26" s="25" t="s">
        <v>73</v>
      </c>
      <c r="B26" s="5">
        <v>3</v>
      </c>
      <c r="C26" s="5">
        <v>2</v>
      </c>
      <c r="D26" s="6" t="s">
        <v>78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V26"/>
      <c r="W26"/>
      <c r="X26"/>
      <c r="Z26" s="80">
        <v>43948</v>
      </c>
      <c r="AA26" s="81">
        <v>0</v>
      </c>
      <c r="AB26" s="93"/>
      <c r="AC26" s="16"/>
      <c r="AD26" s="20"/>
      <c r="AE26" s="11"/>
      <c r="AF26" s="12"/>
      <c r="AG26" s="16"/>
    </row>
    <row r="27" spans="1:33" x14ac:dyDescent="0.25">
      <c r="A27" s="26" t="s">
        <v>73</v>
      </c>
      <c r="B27" s="5">
        <v>8.9599999999999991</v>
      </c>
      <c r="C27" s="8">
        <v>0</v>
      </c>
      <c r="D27" s="9" t="s">
        <v>79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6"/>
      <c r="V27"/>
      <c r="W27"/>
      <c r="X27"/>
      <c r="Z27" s="80">
        <v>43948</v>
      </c>
      <c r="AA27" s="81">
        <v>11.1</v>
      </c>
      <c r="AB27" s="82"/>
      <c r="AC27" s="16"/>
      <c r="AD27" s="20"/>
      <c r="AE27" s="11"/>
      <c r="AF27" s="12"/>
      <c r="AG27" s="16"/>
    </row>
    <row r="28" spans="1:33" x14ac:dyDescent="0.25">
      <c r="A28" s="26" t="s">
        <v>291</v>
      </c>
      <c r="B28" s="5" t="s">
        <v>291</v>
      </c>
      <c r="C28" s="8" t="s">
        <v>291</v>
      </c>
      <c r="D28" s="8" t="s">
        <v>291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6"/>
      <c r="V28"/>
      <c r="W28"/>
      <c r="X28"/>
      <c r="Z28" s="28"/>
      <c r="AA28" s="29"/>
      <c r="AB28" s="15"/>
      <c r="AC28" s="16"/>
      <c r="AD28" s="31"/>
      <c r="AE28" s="27"/>
      <c r="AF28" s="27"/>
      <c r="AG28" s="16"/>
    </row>
    <row r="29" spans="1:33" x14ac:dyDescent="0.25">
      <c r="A29" s="26" t="s">
        <v>291</v>
      </c>
      <c r="B29" s="5" t="s">
        <v>291</v>
      </c>
      <c r="C29" s="8" t="s">
        <v>291</v>
      </c>
      <c r="D29" s="8" t="s">
        <v>291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6"/>
      <c r="V29"/>
      <c r="W29"/>
      <c r="X29"/>
      <c r="Z29" s="83" t="s">
        <v>96</v>
      </c>
      <c r="AA29" s="84"/>
      <c r="AB29" s="84"/>
      <c r="AC29" s="16"/>
      <c r="AD29" s="14"/>
      <c r="AE29" s="15"/>
      <c r="AF29" s="15"/>
      <c r="AG29" s="16"/>
    </row>
    <row r="30" spans="1:33" x14ac:dyDescent="0.25">
      <c r="A30" s="26" t="s">
        <v>291</v>
      </c>
      <c r="B30" s="5" t="s">
        <v>291</v>
      </c>
      <c r="C30" s="8" t="s">
        <v>291</v>
      </c>
      <c r="D30" s="8" t="s">
        <v>291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6"/>
      <c r="V30"/>
      <c r="W30"/>
      <c r="X30"/>
      <c r="Z30" s="77" t="s">
        <v>82</v>
      </c>
      <c r="AA30" s="78" t="s">
        <v>80</v>
      </c>
      <c r="AB30" s="79" t="s">
        <v>81</v>
      </c>
      <c r="AC30" s="16"/>
      <c r="AD30" s="14"/>
      <c r="AE30" s="15"/>
      <c r="AF30" s="15"/>
      <c r="AG30" s="16"/>
    </row>
    <row r="31" spans="1:33" x14ac:dyDescent="0.25">
      <c r="A31" s="26" t="s">
        <v>291</v>
      </c>
      <c r="B31" s="5" t="s">
        <v>291</v>
      </c>
      <c r="C31" s="8" t="s">
        <v>291</v>
      </c>
      <c r="D31" s="8" t="s">
        <v>291</v>
      </c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6"/>
      <c r="V31"/>
      <c r="W31"/>
      <c r="X31"/>
      <c r="Z31" s="80">
        <v>42156</v>
      </c>
      <c r="AA31" s="81">
        <v>0.5</v>
      </c>
      <c r="AB31" s="93"/>
      <c r="AC31" s="16"/>
      <c r="AD31" s="14"/>
      <c r="AE31" s="15"/>
      <c r="AF31" s="15"/>
      <c r="AG31" s="16"/>
    </row>
    <row r="32" spans="1:33" x14ac:dyDescent="0.25">
      <c r="A32" s="26" t="s">
        <v>291</v>
      </c>
      <c r="B32" s="5" t="s">
        <v>291</v>
      </c>
      <c r="C32" s="8" t="s">
        <v>291</v>
      </c>
      <c r="D32" s="8" t="s">
        <v>291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6"/>
      <c r="V32"/>
      <c r="W32"/>
      <c r="X32"/>
      <c r="Z32" s="80">
        <v>43948</v>
      </c>
      <c r="AA32" s="81">
        <v>11.1</v>
      </c>
      <c r="AB32" s="82"/>
      <c r="AC32" s="16"/>
      <c r="AD32" s="14"/>
      <c r="AE32" s="15"/>
      <c r="AF32" s="15"/>
      <c r="AG32" s="16"/>
    </row>
    <row r="33" spans="1:33" x14ac:dyDescent="0.25">
      <c r="A33" s="14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6"/>
      <c r="V33"/>
      <c r="W33"/>
      <c r="X33"/>
      <c r="Z33" s="28"/>
      <c r="AA33" s="29"/>
      <c r="AB33" s="15"/>
      <c r="AC33" s="16"/>
      <c r="AD33" s="14"/>
      <c r="AE33" s="15"/>
      <c r="AF33" s="15"/>
      <c r="AG33" s="16"/>
    </row>
    <row r="34" spans="1:33" x14ac:dyDescent="0.25">
      <c r="A34" s="14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6"/>
      <c r="V34"/>
      <c r="W34"/>
      <c r="X34"/>
      <c r="Z34" s="83" t="s">
        <v>97</v>
      </c>
      <c r="AA34" s="94"/>
      <c r="AB34" s="84"/>
      <c r="AC34" s="95"/>
      <c r="AD34" s="14"/>
      <c r="AE34" s="15"/>
      <c r="AF34" s="15"/>
      <c r="AG34" s="16"/>
    </row>
    <row r="35" spans="1:33" x14ac:dyDescent="0.25">
      <c r="A35" s="14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6"/>
      <c r="V35"/>
      <c r="W35"/>
      <c r="X35"/>
      <c r="Z35" s="77" t="s">
        <v>82</v>
      </c>
      <c r="AA35" s="78" t="s">
        <v>80</v>
      </c>
      <c r="AB35" s="79" t="s">
        <v>81</v>
      </c>
      <c r="AC35" s="95"/>
      <c r="AD35" s="14"/>
      <c r="AE35" s="15"/>
      <c r="AF35" s="15"/>
      <c r="AG35" s="16"/>
    </row>
    <row r="36" spans="1:33" x14ac:dyDescent="0.25">
      <c r="A36" s="14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6"/>
      <c r="V36"/>
      <c r="W36"/>
      <c r="X36"/>
      <c r="Z36" s="80">
        <v>42156</v>
      </c>
      <c r="AA36" s="81">
        <v>0.5</v>
      </c>
      <c r="AB36" s="93"/>
      <c r="AC36" s="95"/>
      <c r="AD36" s="14"/>
      <c r="AE36" s="15"/>
      <c r="AF36" s="15"/>
      <c r="AG36" s="16"/>
    </row>
    <row r="37" spans="1:33" x14ac:dyDescent="0.25">
      <c r="A37" s="14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6"/>
      <c r="V37"/>
      <c r="W37"/>
      <c r="X37"/>
      <c r="Z37" s="80">
        <v>44283</v>
      </c>
      <c r="AA37" s="81">
        <v>11.1</v>
      </c>
      <c r="AB37" s="82"/>
      <c r="AC37" s="95"/>
      <c r="AD37" s="14"/>
      <c r="AE37" s="15"/>
      <c r="AF37" s="15"/>
      <c r="AG37" s="16"/>
    </row>
    <row r="38" spans="1:33" x14ac:dyDescent="0.25">
      <c r="A38" s="14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6"/>
      <c r="T38" s="15"/>
      <c r="V38"/>
      <c r="W38"/>
      <c r="X38"/>
      <c r="Z38" s="28"/>
      <c r="AA38" s="29"/>
      <c r="AB38" s="15"/>
      <c r="AC38" s="16"/>
      <c r="AD38" s="14"/>
      <c r="AE38" s="15"/>
      <c r="AF38" s="15"/>
      <c r="AG38" s="16"/>
    </row>
    <row r="39" spans="1:33" x14ac:dyDescent="0.25">
      <c r="A39" s="14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6"/>
      <c r="T39" s="15"/>
      <c r="V39"/>
      <c r="W39"/>
      <c r="X39"/>
      <c r="Z39" s="14"/>
      <c r="AA39" s="15"/>
      <c r="AB39" s="15"/>
      <c r="AC39" s="16"/>
      <c r="AD39" s="14"/>
      <c r="AE39" s="15"/>
      <c r="AF39" s="15"/>
      <c r="AG39" s="16"/>
    </row>
    <row r="40" spans="1:33" x14ac:dyDescent="0.25">
      <c r="A40" s="14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6"/>
      <c r="T40" s="15"/>
      <c r="V40"/>
      <c r="W40"/>
      <c r="X40"/>
    </row>
    <row r="41" spans="1:33" x14ac:dyDescent="0.25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6"/>
      <c r="T41" s="15"/>
      <c r="V41"/>
      <c r="W41"/>
      <c r="X41"/>
    </row>
    <row r="42" spans="1:33" x14ac:dyDescent="0.25">
      <c r="A42" s="14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6"/>
      <c r="T42" s="15"/>
      <c r="V42"/>
      <c r="W42"/>
      <c r="X42"/>
    </row>
    <row r="43" spans="1:33" x14ac:dyDescent="0.25">
      <c r="A43" s="14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6"/>
      <c r="T43" s="15"/>
      <c r="V43"/>
      <c r="W43"/>
      <c r="X43"/>
    </row>
    <row r="44" spans="1:33" x14ac:dyDescent="0.25">
      <c r="A44" s="14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6"/>
      <c r="T44" s="15"/>
      <c r="V44"/>
      <c r="W44"/>
      <c r="X44"/>
    </row>
    <row r="45" spans="1:33" x14ac:dyDescent="0.25">
      <c r="A45" s="14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6"/>
      <c r="T45" s="15"/>
      <c r="V45"/>
      <c r="W45"/>
      <c r="X45"/>
    </row>
    <row r="46" spans="1:33" x14ac:dyDescent="0.25">
      <c r="A46" s="14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6"/>
      <c r="T46" s="15"/>
      <c r="V46"/>
      <c r="W46"/>
      <c r="X46"/>
    </row>
    <row r="47" spans="1:33" ht="15.75" thickBot="1" x14ac:dyDescent="0.3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3"/>
      <c r="T47" s="15"/>
      <c r="V47"/>
      <c r="W47"/>
      <c r="X47"/>
    </row>
    <row r="48" spans="1:33" s="15" customFormat="1" x14ac:dyDescent="0.25">
      <c r="U48"/>
      <c r="V48"/>
      <c r="W48"/>
      <c r="X48"/>
      <c r="Y48" s="48"/>
    </row>
    <row r="49" spans="1:25" s="15" customFormat="1" x14ac:dyDescent="0.25">
      <c r="U49"/>
      <c r="V49"/>
      <c r="W49"/>
      <c r="X49"/>
      <c r="Y49" s="48"/>
    </row>
    <row r="50" spans="1:25" s="15" customFormat="1" x14ac:dyDescent="0.25">
      <c r="U50"/>
      <c r="V50"/>
      <c r="W50"/>
      <c r="X50"/>
      <c r="Y50" s="48"/>
    </row>
    <row r="51" spans="1:25" s="15" customFormat="1" x14ac:dyDescent="0.25">
      <c r="U51"/>
      <c r="V51"/>
      <c r="W51"/>
      <c r="X51"/>
      <c r="Y51" s="48"/>
    </row>
    <row r="52" spans="1:25" x14ac:dyDescent="0.25">
      <c r="I52" s="15"/>
      <c r="J52" s="15"/>
      <c r="K52" s="15"/>
      <c r="L52" s="15"/>
      <c r="M52" s="15"/>
      <c r="N52" s="15"/>
      <c r="O52" s="15"/>
      <c r="P52" s="15"/>
      <c r="Q52" s="15"/>
      <c r="R52" s="15"/>
      <c r="T52" s="15"/>
      <c r="V52"/>
      <c r="W52"/>
      <c r="X52"/>
    </row>
    <row r="53" spans="1:25" x14ac:dyDescent="0.25">
      <c r="I53" s="15"/>
      <c r="J53" s="15"/>
      <c r="K53" s="15"/>
      <c r="L53" s="15"/>
      <c r="M53" s="15"/>
      <c r="N53" s="15"/>
      <c r="O53" s="15"/>
      <c r="P53" s="15"/>
      <c r="Q53" s="15"/>
      <c r="R53" s="15"/>
      <c r="T53" s="15"/>
      <c r="V53"/>
      <c r="W53"/>
      <c r="X53"/>
    </row>
    <row r="54" spans="1:25" x14ac:dyDescent="0.25">
      <c r="I54" s="15"/>
      <c r="J54" s="15"/>
      <c r="K54" s="15"/>
      <c r="L54" s="15"/>
      <c r="M54" s="15"/>
      <c r="N54" s="15"/>
      <c r="O54" s="15"/>
      <c r="P54" s="15"/>
      <c r="Q54" s="15"/>
      <c r="R54" s="15"/>
      <c r="T54" s="15"/>
      <c r="V54"/>
      <c r="W54"/>
      <c r="X54"/>
    </row>
    <row r="55" spans="1:25" x14ac:dyDescent="0.25">
      <c r="I55" s="15"/>
      <c r="J55" s="15"/>
      <c r="K55" s="15"/>
      <c r="L55" s="15"/>
      <c r="M55" s="15"/>
      <c r="N55" s="15"/>
      <c r="O55" s="15"/>
      <c r="P55" s="15"/>
      <c r="Q55" s="15"/>
      <c r="R55" s="15"/>
      <c r="T55" s="15"/>
      <c r="V55"/>
      <c r="W55"/>
      <c r="X55"/>
    </row>
    <row r="56" spans="1:25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T56" s="15"/>
      <c r="V56"/>
      <c r="W56"/>
      <c r="X56"/>
    </row>
    <row r="57" spans="1:25" x14ac:dyDescent="0.25">
      <c r="A57" s="42"/>
      <c r="B57" s="43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V57"/>
      <c r="W57"/>
      <c r="X57"/>
    </row>
    <row r="58" spans="1:25" x14ac:dyDescent="0.25">
      <c r="A58" s="42"/>
      <c r="B58" s="43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V58"/>
      <c r="W58"/>
      <c r="X58"/>
    </row>
    <row r="59" spans="1:25" x14ac:dyDescent="0.25">
      <c r="B59" s="10"/>
      <c r="V59"/>
      <c r="W59"/>
      <c r="X59"/>
    </row>
    <row r="60" spans="1:25" x14ac:dyDescent="0.25">
      <c r="V60"/>
      <c r="W60"/>
      <c r="X60"/>
    </row>
    <row r="61" spans="1:25" x14ac:dyDescent="0.25">
      <c r="V61"/>
      <c r="W61"/>
      <c r="X61"/>
    </row>
    <row r="62" spans="1:25" x14ac:dyDescent="0.25">
      <c r="A62" s="38"/>
      <c r="V62"/>
      <c r="W62"/>
      <c r="X62"/>
    </row>
    <row r="63" spans="1:25" x14ac:dyDescent="0.25">
      <c r="A63" s="38"/>
      <c r="V63"/>
      <c r="W63"/>
      <c r="X63"/>
    </row>
    <row r="64" spans="1:25" x14ac:dyDescent="0.25">
      <c r="V64"/>
      <c r="W64"/>
      <c r="X64"/>
    </row>
    <row r="65" spans="1:24" x14ac:dyDescent="0.25">
      <c r="V65"/>
      <c r="W65"/>
      <c r="X65"/>
    </row>
    <row r="66" spans="1:24" x14ac:dyDescent="0.25">
      <c r="A66" s="38"/>
      <c r="V66"/>
      <c r="W66"/>
      <c r="X66"/>
    </row>
    <row r="67" spans="1:24" x14ac:dyDescent="0.25">
      <c r="A67" s="38"/>
      <c r="V67"/>
      <c r="W67"/>
      <c r="X67"/>
    </row>
    <row r="68" spans="1:24" x14ac:dyDescent="0.25">
      <c r="A68" s="38"/>
      <c r="V68"/>
      <c r="W68"/>
      <c r="X68"/>
    </row>
    <row r="69" spans="1:24" x14ac:dyDescent="0.25">
      <c r="A69" s="38"/>
      <c r="V69"/>
      <c r="W69"/>
      <c r="X69"/>
    </row>
    <row r="70" spans="1:24" x14ac:dyDescent="0.25">
      <c r="A70" s="38"/>
      <c r="V70"/>
      <c r="W70"/>
      <c r="X70"/>
    </row>
    <row r="71" spans="1:24" x14ac:dyDescent="0.25">
      <c r="A71" s="38"/>
      <c r="V71"/>
      <c r="W71"/>
      <c r="X71"/>
    </row>
    <row r="72" spans="1:24" x14ac:dyDescent="0.25">
      <c r="V72"/>
      <c r="W72"/>
      <c r="X72"/>
    </row>
    <row r="73" spans="1:24" x14ac:dyDescent="0.25">
      <c r="V73"/>
      <c r="W73"/>
      <c r="X73"/>
    </row>
    <row r="74" spans="1:24" x14ac:dyDescent="0.25">
      <c r="V74"/>
      <c r="W74"/>
      <c r="X74"/>
    </row>
    <row r="75" spans="1:24" x14ac:dyDescent="0.25">
      <c r="V75"/>
      <c r="W75"/>
      <c r="X75"/>
    </row>
    <row r="76" spans="1:24" x14ac:dyDescent="0.25">
      <c r="V76"/>
      <c r="W76"/>
      <c r="X76"/>
    </row>
    <row r="77" spans="1:24" x14ac:dyDescent="0.25">
      <c r="V77"/>
      <c r="W77"/>
      <c r="X77"/>
    </row>
    <row r="78" spans="1:24" x14ac:dyDescent="0.25">
      <c r="V78"/>
      <c r="W78"/>
      <c r="X78"/>
    </row>
    <row r="79" spans="1:24" x14ac:dyDescent="0.25">
      <c r="V79"/>
      <c r="W79"/>
      <c r="X79"/>
    </row>
    <row r="80" spans="1:24" x14ac:dyDescent="0.25">
      <c r="V80"/>
      <c r="W80"/>
      <c r="X80"/>
    </row>
    <row r="81" spans="22:24" x14ac:dyDescent="0.25">
      <c r="V81"/>
      <c r="W81"/>
      <c r="X81"/>
    </row>
    <row r="82" spans="22:24" x14ac:dyDescent="0.25">
      <c r="V82"/>
      <c r="W82"/>
      <c r="X82"/>
    </row>
    <row r="83" spans="22:24" x14ac:dyDescent="0.25">
      <c r="V83"/>
      <c r="W83"/>
      <c r="X83"/>
    </row>
    <row r="84" spans="22:24" x14ac:dyDescent="0.25">
      <c r="V84"/>
      <c r="W84"/>
      <c r="X84"/>
    </row>
    <row r="85" spans="22:24" x14ac:dyDescent="0.25">
      <c r="V85"/>
      <c r="W85"/>
      <c r="X85"/>
    </row>
    <row r="86" spans="22:24" x14ac:dyDescent="0.25">
      <c r="V86"/>
      <c r="W86"/>
      <c r="X86"/>
    </row>
    <row r="87" spans="22:24" x14ac:dyDescent="0.25">
      <c r="V87"/>
      <c r="W87"/>
      <c r="X87"/>
    </row>
    <row r="88" spans="22:24" x14ac:dyDescent="0.25">
      <c r="V88"/>
      <c r="W88"/>
      <c r="X88"/>
    </row>
    <row r="89" spans="22:24" x14ac:dyDescent="0.25">
      <c r="V89"/>
      <c r="W89"/>
      <c r="X89"/>
    </row>
    <row r="90" spans="22:24" x14ac:dyDescent="0.25">
      <c r="V90"/>
      <c r="W90"/>
      <c r="X90"/>
    </row>
    <row r="91" spans="22:24" x14ac:dyDescent="0.25">
      <c r="V91"/>
      <c r="W91"/>
      <c r="X91"/>
    </row>
    <row r="92" spans="22:24" x14ac:dyDescent="0.25">
      <c r="V92"/>
      <c r="W92"/>
      <c r="X92"/>
    </row>
    <row r="93" spans="22:24" x14ac:dyDescent="0.25">
      <c r="V93"/>
      <c r="W93"/>
      <c r="X93"/>
    </row>
    <row r="94" spans="22:24" x14ac:dyDescent="0.25">
      <c r="V94"/>
      <c r="W94"/>
      <c r="X94"/>
    </row>
    <row r="95" spans="22:24" x14ac:dyDescent="0.25">
      <c r="V95"/>
      <c r="W95"/>
      <c r="X95"/>
    </row>
    <row r="96" spans="22:24" x14ac:dyDescent="0.25">
      <c r="V96"/>
      <c r="W96"/>
      <c r="X96"/>
    </row>
    <row r="97" spans="22:24" x14ac:dyDescent="0.25">
      <c r="V97"/>
      <c r="W97"/>
      <c r="X97"/>
    </row>
    <row r="98" spans="22:24" x14ac:dyDescent="0.25">
      <c r="V98"/>
      <c r="W98"/>
      <c r="X98"/>
    </row>
    <row r="99" spans="22:24" x14ac:dyDescent="0.25">
      <c r="V99"/>
      <c r="W99"/>
      <c r="X99"/>
    </row>
    <row r="100" spans="22:24" x14ac:dyDescent="0.25">
      <c r="V100"/>
      <c r="W100"/>
      <c r="X100"/>
    </row>
    <row r="101" spans="22:24" x14ac:dyDescent="0.25">
      <c r="V101"/>
      <c r="W101"/>
      <c r="X101"/>
    </row>
    <row r="102" spans="22:24" x14ac:dyDescent="0.25">
      <c r="V102"/>
      <c r="W102"/>
      <c r="X102"/>
    </row>
    <row r="103" spans="22:24" x14ac:dyDescent="0.25">
      <c r="V103"/>
      <c r="W103"/>
      <c r="X103"/>
    </row>
    <row r="104" spans="22:24" x14ac:dyDescent="0.25">
      <c r="V104"/>
      <c r="W104"/>
      <c r="X104"/>
    </row>
    <row r="105" spans="22:24" x14ac:dyDescent="0.25">
      <c r="V105"/>
      <c r="W105"/>
      <c r="X105"/>
    </row>
    <row r="106" spans="22:24" x14ac:dyDescent="0.25">
      <c r="V106"/>
      <c r="W106"/>
      <c r="X106"/>
    </row>
    <row r="107" spans="22:24" x14ac:dyDescent="0.25">
      <c r="V107"/>
      <c r="W107"/>
      <c r="X107"/>
    </row>
    <row r="108" spans="22:24" x14ac:dyDescent="0.25">
      <c r="V108"/>
      <c r="W108"/>
      <c r="X108"/>
    </row>
    <row r="109" spans="22:24" x14ac:dyDescent="0.25">
      <c r="V109"/>
      <c r="W109"/>
      <c r="X109"/>
    </row>
    <row r="110" spans="22:24" x14ac:dyDescent="0.25">
      <c r="V110"/>
      <c r="W110"/>
      <c r="X110"/>
    </row>
    <row r="111" spans="22:24" x14ac:dyDescent="0.25">
      <c r="V111"/>
      <c r="W111"/>
      <c r="X111"/>
    </row>
    <row r="112" spans="22:24" x14ac:dyDescent="0.25">
      <c r="V112"/>
      <c r="W112"/>
      <c r="X112"/>
    </row>
    <row r="113" spans="22:24" x14ac:dyDescent="0.25">
      <c r="V113"/>
      <c r="W113"/>
      <c r="X113"/>
    </row>
    <row r="114" spans="22:24" x14ac:dyDescent="0.25">
      <c r="V114"/>
      <c r="W114"/>
      <c r="X114"/>
    </row>
    <row r="115" spans="22:24" x14ac:dyDescent="0.25">
      <c r="V115"/>
      <c r="W115"/>
      <c r="X115"/>
    </row>
    <row r="116" spans="22:24" x14ac:dyDescent="0.25">
      <c r="V116"/>
      <c r="W116"/>
      <c r="X116"/>
    </row>
    <row r="117" spans="22:24" x14ac:dyDescent="0.25">
      <c r="V117"/>
      <c r="W117"/>
      <c r="X117"/>
    </row>
    <row r="118" spans="22:24" x14ac:dyDescent="0.25">
      <c r="V118"/>
      <c r="W118"/>
      <c r="X118"/>
    </row>
    <row r="119" spans="22:24" x14ac:dyDescent="0.25">
      <c r="V119"/>
      <c r="W119"/>
      <c r="X119"/>
    </row>
    <row r="120" spans="22:24" x14ac:dyDescent="0.25">
      <c r="V120"/>
      <c r="W120"/>
      <c r="X120"/>
    </row>
    <row r="121" spans="22:24" x14ac:dyDescent="0.25">
      <c r="V121"/>
      <c r="W121"/>
      <c r="X121"/>
    </row>
    <row r="122" spans="22:24" x14ac:dyDescent="0.25">
      <c r="V122"/>
      <c r="W122"/>
      <c r="X122"/>
    </row>
    <row r="123" spans="22:24" x14ac:dyDescent="0.25">
      <c r="V123"/>
      <c r="W123"/>
      <c r="X123"/>
    </row>
    <row r="124" spans="22:24" x14ac:dyDescent="0.25">
      <c r="V124"/>
      <c r="W124"/>
      <c r="X124"/>
    </row>
    <row r="125" spans="22:24" x14ac:dyDescent="0.25">
      <c r="V125"/>
      <c r="W125"/>
      <c r="X125"/>
    </row>
    <row r="126" spans="22:24" x14ac:dyDescent="0.25">
      <c r="V126"/>
      <c r="W126"/>
      <c r="X126"/>
    </row>
    <row r="127" spans="22:24" x14ac:dyDescent="0.25">
      <c r="V127"/>
      <c r="W127"/>
      <c r="X127"/>
    </row>
    <row r="128" spans="22:24" x14ac:dyDescent="0.25">
      <c r="V128"/>
      <c r="W128"/>
      <c r="X128"/>
    </row>
    <row r="129" spans="22:24" x14ac:dyDescent="0.25">
      <c r="V129"/>
      <c r="W129"/>
      <c r="X129"/>
    </row>
    <row r="130" spans="22:24" x14ac:dyDescent="0.25">
      <c r="V130"/>
      <c r="W130"/>
      <c r="X130"/>
    </row>
    <row r="131" spans="22:24" x14ac:dyDescent="0.25">
      <c r="V131"/>
      <c r="W131"/>
      <c r="X131"/>
    </row>
    <row r="132" spans="22:24" x14ac:dyDescent="0.25">
      <c r="V132"/>
      <c r="W132"/>
      <c r="X132"/>
    </row>
    <row r="133" spans="22:24" x14ac:dyDescent="0.25">
      <c r="V133"/>
      <c r="W133"/>
      <c r="X133"/>
    </row>
    <row r="134" spans="22:24" x14ac:dyDescent="0.25">
      <c r="V134"/>
      <c r="W134"/>
      <c r="X134"/>
    </row>
    <row r="135" spans="22:24" x14ac:dyDescent="0.25">
      <c r="V135"/>
      <c r="W135"/>
      <c r="X135"/>
    </row>
    <row r="136" spans="22:24" x14ac:dyDescent="0.25">
      <c r="V136"/>
      <c r="W136"/>
      <c r="X136"/>
    </row>
    <row r="137" spans="22:24" x14ac:dyDescent="0.25">
      <c r="V137"/>
      <c r="W137"/>
      <c r="X137"/>
    </row>
    <row r="138" spans="22:24" x14ac:dyDescent="0.25">
      <c r="V138"/>
      <c r="W138"/>
      <c r="X138"/>
    </row>
    <row r="139" spans="22:24" x14ac:dyDescent="0.25">
      <c r="V139"/>
      <c r="W139"/>
      <c r="X139"/>
    </row>
    <row r="140" spans="22:24" x14ac:dyDescent="0.25">
      <c r="V140"/>
      <c r="W140"/>
      <c r="X140"/>
    </row>
    <row r="141" spans="22:24" x14ac:dyDescent="0.25">
      <c r="V141"/>
      <c r="W141"/>
      <c r="X141"/>
    </row>
    <row r="142" spans="22:24" x14ac:dyDescent="0.25">
      <c r="V142"/>
      <c r="W142"/>
      <c r="X142"/>
    </row>
    <row r="143" spans="22:24" x14ac:dyDescent="0.25">
      <c r="V143"/>
      <c r="W143"/>
      <c r="X143"/>
    </row>
    <row r="144" spans="22:24" x14ac:dyDescent="0.25">
      <c r="V144"/>
      <c r="W144"/>
      <c r="X144"/>
    </row>
    <row r="145" spans="22:24" x14ac:dyDescent="0.25">
      <c r="V145"/>
      <c r="W145"/>
      <c r="X145"/>
    </row>
    <row r="146" spans="22:24" x14ac:dyDescent="0.25">
      <c r="V146"/>
      <c r="W146"/>
      <c r="X146"/>
    </row>
    <row r="147" spans="22:24" x14ac:dyDescent="0.25">
      <c r="V147"/>
      <c r="W147"/>
      <c r="X147"/>
    </row>
    <row r="148" spans="22:24" x14ac:dyDescent="0.25">
      <c r="V148"/>
      <c r="W148"/>
      <c r="X148"/>
    </row>
    <row r="149" spans="22:24" x14ac:dyDescent="0.25">
      <c r="V149"/>
      <c r="W149"/>
      <c r="X149"/>
    </row>
    <row r="150" spans="22:24" x14ac:dyDescent="0.25">
      <c r="V150"/>
      <c r="W150"/>
      <c r="X150"/>
    </row>
    <row r="151" spans="22:24" x14ac:dyDescent="0.25">
      <c r="V151"/>
      <c r="W151"/>
      <c r="X151"/>
    </row>
    <row r="152" spans="22:24" x14ac:dyDescent="0.25">
      <c r="V152"/>
      <c r="W152"/>
      <c r="X152"/>
    </row>
    <row r="153" spans="22:24" x14ac:dyDescent="0.25">
      <c r="V153"/>
      <c r="W153"/>
      <c r="X153"/>
    </row>
    <row r="154" spans="22:24" x14ac:dyDescent="0.25">
      <c r="V154"/>
      <c r="W154"/>
      <c r="X154"/>
    </row>
    <row r="155" spans="22:24" x14ac:dyDescent="0.25">
      <c r="V155"/>
      <c r="W155"/>
      <c r="X155"/>
    </row>
    <row r="156" spans="22:24" x14ac:dyDescent="0.25">
      <c r="V156"/>
      <c r="W156"/>
      <c r="X156"/>
    </row>
    <row r="157" spans="22:24" x14ac:dyDescent="0.25">
      <c r="V157"/>
      <c r="W157"/>
      <c r="X157"/>
    </row>
    <row r="158" spans="22:24" x14ac:dyDescent="0.25">
      <c r="V158"/>
      <c r="W158"/>
      <c r="X158"/>
    </row>
    <row r="159" spans="22:24" x14ac:dyDescent="0.25">
      <c r="V159"/>
      <c r="W159"/>
      <c r="X159"/>
    </row>
    <row r="160" spans="22:24" x14ac:dyDescent="0.25">
      <c r="V160"/>
      <c r="W160"/>
      <c r="X160"/>
    </row>
    <row r="161" spans="22:24" x14ac:dyDescent="0.25">
      <c r="V161"/>
      <c r="W161"/>
      <c r="X161"/>
    </row>
    <row r="162" spans="22:24" x14ac:dyDescent="0.25">
      <c r="V162"/>
      <c r="W162"/>
      <c r="X162"/>
    </row>
    <row r="163" spans="22:24" x14ac:dyDescent="0.25">
      <c r="V163"/>
      <c r="W163"/>
      <c r="X163"/>
    </row>
    <row r="164" spans="22:24" x14ac:dyDescent="0.25">
      <c r="V164"/>
      <c r="W164"/>
      <c r="X164"/>
    </row>
    <row r="165" spans="22:24" x14ac:dyDescent="0.25">
      <c r="V165"/>
      <c r="W165"/>
      <c r="X165"/>
    </row>
    <row r="166" spans="22:24" x14ac:dyDescent="0.25">
      <c r="V166"/>
      <c r="W166"/>
      <c r="X166"/>
    </row>
    <row r="167" spans="22:24" x14ac:dyDescent="0.25">
      <c r="V167"/>
      <c r="W167"/>
      <c r="X167"/>
    </row>
    <row r="168" spans="22:24" x14ac:dyDescent="0.25">
      <c r="V168"/>
      <c r="W168"/>
      <c r="X168"/>
    </row>
    <row r="169" spans="22:24" x14ac:dyDescent="0.25">
      <c r="V169"/>
      <c r="W169"/>
      <c r="X169"/>
    </row>
    <row r="170" spans="22:24" x14ac:dyDescent="0.25">
      <c r="V170"/>
      <c r="W170"/>
      <c r="X170"/>
    </row>
    <row r="171" spans="22:24" x14ac:dyDescent="0.25">
      <c r="V171"/>
      <c r="W171"/>
      <c r="X171"/>
    </row>
    <row r="172" spans="22:24" x14ac:dyDescent="0.25">
      <c r="V172"/>
      <c r="W172"/>
      <c r="X172"/>
    </row>
    <row r="173" spans="22:24" x14ac:dyDescent="0.25">
      <c r="V173"/>
      <c r="W173"/>
      <c r="X173"/>
    </row>
    <row r="174" spans="22:24" x14ac:dyDescent="0.25">
      <c r="V174"/>
      <c r="W174"/>
      <c r="X174"/>
    </row>
    <row r="175" spans="22:24" x14ac:dyDescent="0.25">
      <c r="V175"/>
      <c r="W175"/>
      <c r="X175"/>
    </row>
    <row r="176" spans="22:24" x14ac:dyDescent="0.25">
      <c r="V176"/>
      <c r="W176"/>
      <c r="X176"/>
    </row>
    <row r="177" spans="22:24" x14ac:dyDescent="0.25">
      <c r="V177"/>
      <c r="W177"/>
      <c r="X177"/>
    </row>
    <row r="178" spans="22:24" x14ac:dyDescent="0.25">
      <c r="V178"/>
      <c r="W178"/>
      <c r="X178"/>
    </row>
    <row r="179" spans="22:24" x14ac:dyDescent="0.25">
      <c r="V179"/>
      <c r="W179"/>
      <c r="X179"/>
    </row>
    <row r="180" spans="22:24" x14ac:dyDescent="0.25">
      <c r="V180"/>
      <c r="W180"/>
      <c r="X180"/>
    </row>
    <row r="181" spans="22:24" x14ac:dyDescent="0.25">
      <c r="V181"/>
      <c r="W181"/>
      <c r="X181"/>
    </row>
    <row r="182" spans="22:24" x14ac:dyDescent="0.25">
      <c r="V182"/>
      <c r="W182"/>
      <c r="X182"/>
    </row>
    <row r="183" spans="22:24" x14ac:dyDescent="0.25">
      <c r="V183"/>
      <c r="W183"/>
      <c r="X183"/>
    </row>
    <row r="184" spans="22:24" x14ac:dyDescent="0.25">
      <c r="V184"/>
      <c r="W184"/>
      <c r="X184"/>
    </row>
    <row r="185" spans="22:24" x14ac:dyDescent="0.25">
      <c r="V185"/>
      <c r="W185"/>
      <c r="X185"/>
    </row>
    <row r="186" spans="22:24" x14ac:dyDescent="0.25">
      <c r="V186"/>
      <c r="W186"/>
      <c r="X186"/>
    </row>
    <row r="187" spans="22:24" x14ac:dyDescent="0.25">
      <c r="V187"/>
      <c r="W187"/>
      <c r="X187"/>
    </row>
    <row r="188" spans="22:24" x14ac:dyDescent="0.25">
      <c r="V188"/>
      <c r="W188"/>
      <c r="X188"/>
    </row>
    <row r="189" spans="22:24" x14ac:dyDescent="0.25">
      <c r="V189"/>
      <c r="W189"/>
      <c r="X189"/>
    </row>
    <row r="190" spans="22:24" x14ac:dyDescent="0.25">
      <c r="V190"/>
      <c r="W190"/>
      <c r="X190"/>
    </row>
    <row r="191" spans="22:24" x14ac:dyDescent="0.25">
      <c r="V191"/>
      <c r="W191"/>
      <c r="X191"/>
    </row>
    <row r="192" spans="22:24" x14ac:dyDescent="0.25">
      <c r="V192"/>
      <c r="W192"/>
      <c r="X192"/>
    </row>
    <row r="193" spans="22:24" x14ac:dyDescent="0.25">
      <c r="V193"/>
      <c r="W193"/>
      <c r="X193"/>
    </row>
    <row r="194" spans="22:24" x14ac:dyDescent="0.25">
      <c r="V194"/>
      <c r="W194"/>
      <c r="X194"/>
    </row>
    <row r="195" spans="22:24" x14ac:dyDescent="0.25">
      <c r="V195"/>
      <c r="W195"/>
      <c r="X195"/>
    </row>
    <row r="196" spans="22:24" x14ac:dyDescent="0.25">
      <c r="V196"/>
      <c r="W196"/>
      <c r="X196"/>
    </row>
    <row r="197" spans="22:24" x14ac:dyDescent="0.25">
      <c r="V197"/>
      <c r="W197"/>
      <c r="X197"/>
    </row>
    <row r="198" spans="22:24" x14ac:dyDescent="0.25">
      <c r="V198"/>
      <c r="W198"/>
      <c r="X198"/>
    </row>
    <row r="199" spans="22:24" x14ac:dyDescent="0.25">
      <c r="V199"/>
      <c r="W199"/>
      <c r="X199"/>
    </row>
    <row r="200" spans="22:24" x14ac:dyDescent="0.25">
      <c r="V200"/>
      <c r="W200"/>
      <c r="X200"/>
    </row>
    <row r="201" spans="22:24" x14ac:dyDescent="0.25">
      <c r="V201"/>
      <c r="W201"/>
      <c r="X201"/>
    </row>
    <row r="202" spans="22:24" x14ac:dyDescent="0.25">
      <c r="V202"/>
      <c r="W202"/>
      <c r="X202"/>
    </row>
    <row r="203" spans="22:24" x14ac:dyDescent="0.25">
      <c r="V203"/>
      <c r="W203"/>
      <c r="X203"/>
    </row>
    <row r="204" spans="22:24" x14ac:dyDescent="0.25">
      <c r="V204"/>
      <c r="W204"/>
      <c r="X204"/>
    </row>
    <row r="205" spans="22:24" x14ac:dyDescent="0.25">
      <c r="V205"/>
      <c r="W205"/>
      <c r="X205"/>
    </row>
    <row r="206" spans="22:24" x14ac:dyDescent="0.25">
      <c r="V206"/>
      <c r="W206"/>
      <c r="X206"/>
    </row>
    <row r="207" spans="22:24" x14ac:dyDescent="0.25">
      <c r="V207"/>
      <c r="W207"/>
      <c r="X207"/>
    </row>
    <row r="208" spans="22:24" x14ac:dyDescent="0.25">
      <c r="V208"/>
      <c r="W208"/>
      <c r="X208"/>
    </row>
    <row r="209" spans="22:24" x14ac:dyDescent="0.25">
      <c r="V209"/>
      <c r="W209"/>
      <c r="X209"/>
    </row>
    <row r="210" spans="22:24" x14ac:dyDescent="0.25">
      <c r="V210"/>
      <c r="W210"/>
      <c r="X210"/>
    </row>
    <row r="211" spans="22:24" x14ac:dyDescent="0.25">
      <c r="V211"/>
      <c r="W211"/>
      <c r="X211"/>
    </row>
    <row r="212" spans="22:24" x14ac:dyDescent="0.25">
      <c r="V212"/>
      <c r="W212"/>
      <c r="X212"/>
    </row>
    <row r="213" spans="22:24" x14ac:dyDescent="0.25">
      <c r="V213"/>
      <c r="W213"/>
      <c r="X213"/>
    </row>
    <row r="214" spans="22:24" x14ac:dyDescent="0.25">
      <c r="V214"/>
      <c r="W214"/>
      <c r="X214"/>
    </row>
    <row r="215" spans="22:24" x14ac:dyDescent="0.25">
      <c r="V215"/>
      <c r="W215"/>
      <c r="X215"/>
    </row>
    <row r="216" spans="22:24" x14ac:dyDescent="0.25">
      <c r="V216"/>
      <c r="W216"/>
      <c r="X216"/>
    </row>
    <row r="217" spans="22:24" x14ac:dyDescent="0.25">
      <c r="V217"/>
      <c r="W217"/>
      <c r="X217"/>
    </row>
    <row r="218" spans="22:24" x14ac:dyDescent="0.25">
      <c r="V218"/>
      <c r="W218"/>
      <c r="X218"/>
    </row>
    <row r="219" spans="22:24" x14ac:dyDescent="0.25">
      <c r="V219"/>
      <c r="W219"/>
      <c r="X219"/>
    </row>
    <row r="220" spans="22:24" x14ac:dyDescent="0.25">
      <c r="V220"/>
      <c r="W220"/>
      <c r="X220"/>
    </row>
    <row r="221" spans="22:24" x14ac:dyDescent="0.25">
      <c r="V221"/>
      <c r="W221"/>
      <c r="X221"/>
    </row>
    <row r="222" spans="22:24" x14ac:dyDescent="0.25">
      <c r="V222"/>
      <c r="W222"/>
      <c r="X222"/>
    </row>
    <row r="223" spans="22:24" x14ac:dyDescent="0.25">
      <c r="V223"/>
      <c r="W223"/>
      <c r="X223"/>
    </row>
    <row r="224" spans="22:24" x14ac:dyDescent="0.25">
      <c r="V224"/>
      <c r="W224"/>
      <c r="X224"/>
    </row>
    <row r="225" spans="22:24" x14ac:dyDescent="0.25">
      <c r="V225"/>
      <c r="W225"/>
      <c r="X225"/>
    </row>
    <row r="226" spans="22:24" x14ac:dyDescent="0.25">
      <c r="V226"/>
      <c r="W226"/>
      <c r="X226"/>
    </row>
    <row r="227" spans="22:24" x14ac:dyDescent="0.25">
      <c r="V227"/>
      <c r="W227"/>
      <c r="X227"/>
    </row>
    <row r="228" spans="22:24" x14ac:dyDescent="0.25">
      <c r="V228"/>
      <c r="W228"/>
      <c r="X228"/>
    </row>
    <row r="229" spans="22:24" x14ac:dyDescent="0.25">
      <c r="V229"/>
      <c r="W229"/>
      <c r="X229"/>
    </row>
    <row r="230" spans="22:24" x14ac:dyDescent="0.25">
      <c r="V230"/>
      <c r="W230"/>
      <c r="X230"/>
    </row>
    <row r="231" spans="22:24" x14ac:dyDescent="0.25">
      <c r="V231"/>
      <c r="W231"/>
      <c r="X231"/>
    </row>
    <row r="232" spans="22:24" x14ac:dyDescent="0.25">
      <c r="V232"/>
      <c r="W232"/>
      <c r="X232"/>
    </row>
    <row r="233" spans="22:24" x14ac:dyDescent="0.25">
      <c r="V233"/>
      <c r="W233"/>
      <c r="X233"/>
    </row>
    <row r="234" spans="22:24" x14ac:dyDescent="0.25">
      <c r="V234"/>
      <c r="W234"/>
      <c r="X234"/>
    </row>
    <row r="235" spans="22:24" x14ac:dyDescent="0.25">
      <c r="V235"/>
      <c r="W235"/>
      <c r="X235"/>
    </row>
    <row r="236" spans="22:24" x14ac:dyDescent="0.25">
      <c r="V236"/>
      <c r="W236"/>
      <c r="X236"/>
    </row>
    <row r="237" spans="22:24" x14ac:dyDescent="0.25">
      <c r="V237"/>
      <c r="W237"/>
      <c r="X237"/>
    </row>
    <row r="238" spans="22:24" x14ac:dyDescent="0.25">
      <c r="V238"/>
      <c r="W238"/>
      <c r="X238"/>
    </row>
    <row r="239" spans="22:24" x14ac:dyDescent="0.25">
      <c r="V239"/>
      <c r="W239"/>
      <c r="X239"/>
    </row>
    <row r="240" spans="22:24" x14ac:dyDescent="0.25">
      <c r="V240"/>
      <c r="W240"/>
      <c r="X240"/>
    </row>
    <row r="241" spans="22:24" x14ac:dyDescent="0.25">
      <c r="V241"/>
      <c r="W241"/>
      <c r="X241"/>
    </row>
    <row r="242" spans="22:24" x14ac:dyDescent="0.25">
      <c r="V242"/>
      <c r="W242"/>
      <c r="X242"/>
    </row>
    <row r="243" spans="22:24" x14ac:dyDescent="0.25">
      <c r="V243"/>
      <c r="W243"/>
      <c r="X243"/>
    </row>
    <row r="244" spans="22:24" x14ac:dyDescent="0.25">
      <c r="V244"/>
      <c r="W244"/>
      <c r="X244"/>
    </row>
    <row r="245" spans="22:24" x14ac:dyDescent="0.25">
      <c r="V245"/>
      <c r="W245"/>
      <c r="X245"/>
    </row>
    <row r="246" spans="22:24" x14ac:dyDescent="0.25">
      <c r="V246"/>
      <c r="W246"/>
      <c r="X246"/>
    </row>
    <row r="247" spans="22:24" x14ac:dyDescent="0.25">
      <c r="V247"/>
      <c r="W247"/>
      <c r="X247"/>
    </row>
    <row r="248" spans="22:24" x14ac:dyDescent="0.25">
      <c r="V248"/>
      <c r="W248"/>
      <c r="X248"/>
    </row>
    <row r="249" spans="22:24" x14ac:dyDescent="0.25">
      <c r="V249"/>
      <c r="W249"/>
      <c r="X249"/>
    </row>
    <row r="250" spans="22:24" x14ac:dyDescent="0.25">
      <c r="V250"/>
      <c r="W250"/>
      <c r="X250"/>
    </row>
    <row r="251" spans="22:24" x14ac:dyDescent="0.25">
      <c r="V251"/>
      <c r="W251"/>
      <c r="X251"/>
    </row>
    <row r="252" spans="22:24" x14ac:dyDescent="0.25">
      <c r="V252"/>
      <c r="W252"/>
      <c r="X252"/>
    </row>
    <row r="253" spans="22:24" x14ac:dyDescent="0.25">
      <c r="V253"/>
      <c r="W253"/>
      <c r="X253"/>
    </row>
    <row r="254" spans="22:24" x14ac:dyDescent="0.25">
      <c r="V254"/>
      <c r="W254"/>
      <c r="X254"/>
    </row>
    <row r="255" spans="22:24" x14ac:dyDescent="0.25">
      <c r="V255"/>
      <c r="W255"/>
      <c r="X255"/>
    </row>
    <row r="256" spans="22:24" x14ac:dyDescent="0.25">
      <c r="V256"/>
      <c r="W256"/>
      <c r="X256"/>
    </row>
    <row r="257" spans="22:24" x14ac:dyDescent="0.25">
      <c r="V257"/>
      <c r="W257"/>
      <c r="X257"/>
    </row>
    <row r="258" spans="22:24" x14ac:dyDescent="0.25">
      <c r="V258"/>
      <c r="W258"/>
      <c r="X258"/>
    </row>
    <row r="259" spans="22:24" x14ac:dyDescent="0.25">
      <c r="V259"/>
      <c r="W259"/>
      <c r="X259"/>
    </row>
    <row r="260" spans="22:24" x14ac:dyDescent="0.25">
      <c r="V260"/>
      <c r="W260"/>
      <c r="X260"/>
    </row>
    <row r="261" spans="22:24" x14ac:dyDescent="0.25">
      <c r="V261"/>
      <c r="W261"/>
      <c r="X261"/>
    </row>
    <row r="262" spans="22:24" x14ac:dyDescent="0.25">
      <c r="V262"/>
      <c r="W262"/>
      <c r="X262"/>
    </row>
    <row r="263" spans="22:24" x14ac:dyDescent="0.25">
      <c r="V263"/>
      <c r="W263"/>
      <c r="X263"/>
    </row>
    <row r="264" spans="22:24" x14ac:dyDescent="0.25">
      <c r="V264"/>
      <c r="W264"/>
      <c r="X264"/>
    </row>
    <row r="265" spans="22:24" x14ac:dyDescent="0.25">
      <c r="V265"/>
      <c r="W265"/>
      <c r="X265"/>
    </row>
    <row r="266" spans="22:24" x14ac:dyDescent="0.25">
      <c r="V266"/>
      <c r="W266"/>
      <c r="X266"/>
    </row>
    <row r="267" spans="22:24" x14ac:dyDescent="0.25">
      <c r="V267"/>
      <c r="W267"/>
      <c r="X267"/>
    </row>
    <row r="268" spans="22:24" x14ac:dyDescent="0.25">
      <c r="V268"/>
      <c r="W268"/>
      <c r="X268"/>
    </row>
    <row r="269" spans="22:24" x14ac:dyDescent="0.25">
      <c r="V269"/>
      <c r="W269"/>
      <c r="X269"/>
    </row>
    <row r="270" spans="22:24" x14ac:dyDescent="0.25">
      <c r="V270"/>
      <c r="W270"/>
      <c r="X270"/>
    </row>
    <row r="271" spans="22:24" x14ac:dyDescent="0.25">
      <c r="V271"/>
      <c r="W271"/>
      <c r="X271"/>
    </row>
    <row r="272" spans="22:24" x14ac:dyDescent="0.25">
      <c r="V272"/>
      <c r="W272"/>
      <c r="X272"/>
    </row>
    <row r="273" spans="22:24" x14ac:dyDescent="0.25">
      <c r="V273"/>
      <c r="W273"/>
      <c r="X273"/>
    </row>
    <row r="274" spans="22:24" x14ac:dyDescent="0.25">
      <c r="V274"/>
      <c r="W274"/>
      <c r="X274"/>
    </row>
    <row r="275" spans="22:24" x14ac:dyDescent="0.25">
      <c r="V275"/>
      <c r="W275"/>
      <c r="X275"/>
    </row>
    <row r="276" spans="22:24" x14ac:dyDescent="0.25">
      <c r="V276"/>
      <c r="W276"/>
      <c r="X276"/>
    </row>
    <row r="277" spans="22:24" x14ac:dyDescent="0.25">
      <c r="V277"/>
      <c r="W277"/>
      <c r="X277"/>
    </row>
    <row r="278" spans="22:24" x14ac:dyDescent="0.25">
      <c r="V278"/>
      <c r="W278"/>
      <c r="X278"/>
    </row>
    <row r="279" spans="22:24" x14ac:dyDescent="0.25">
      <c r="V279"/>
      <c r="W279"/>
      <c r="X279"/>
    </row>
    <row r="280" spans="22:24" x14ac:dyDescent="0.25">
      <c r="V280"/>
      <c r="W280"/>
      <c r="X280"/>
    </row>
    <row r="281" spans="22:24" x14ac:dyDescent="0.25">
      <c r="V281"/>
      <c r="W281"/>
      <c r="X281"/>
    </row>
    <row r="282" spans="22:24" x14ac:dyDescent="0.25">
      <c r="V282"/>
      <c r="W282"/>
      <c r="X282"/>
    </row>
    <row r="283" spans="22:24" x14ac:dyDescent="0.25">
      <c r="V283"/>
      <c r="W283"/>
      <c r="X283"/>
    </row>
    <row r="284" spans="22:24" x14ac:dyDescent="0.25">
      <c r="V284"/>
      <c r="W284"/>
      <c r="X284"/>
    </row>
    <row r="285" spans="22:24" x14ac:dyDescent="0.25">
      <c r="V285"/>
      <c r="W285"/>
      <c r="X285"/>
    </row>
    <row r="286" spans="22:24" x14ac:dyDescent="0.25">
      <c r="V286"/>
      <c r="W286"/>
      <c r="X286"/>
    </row>
    <row r="287" spans="22:24" x14ac:dyDescent="0.25">
      <c r="V287"/>
      <c r="W287"/>
      <c r="X287"/>
    </row>
    <row r="288" spans="22:24" x14ac:dyDescent="0.25">
      <c r="V288"/>
      <c r="W288"/>
      <c r="X288"/>
    </row>
    <row r="289" spans="22:24" x14ac:dyDescent="0.25">
      <c r="V289"/>
      <c r="W289"/>
      <c r="X289"/>
    </row>
    <row r="290" spans="22:24" x14ac:dyDescent="0.25">
      <c r="V290"/>
      <c r="W290"/>
      <c r="X290"/>
    </row>
    <row r="291" spans="22:24" x14ac:dyDescent="0.25">
      <c r="V291"/>
      <c r="W291"/>
      <c r="X291"/>
    </row>
    <row r="292" spans="22:24" x14ac:dyDescent="0.25">
      <c r="V292"/>
      <c r="W292"/>
      <c r="X292"/>
    </row>
    <row r="293" spans="22:24" x14ac:dyDescent="0.25">
      <c r="V293"/>
      <c r="W293"/>
      <c r="X293"/>
    </row>
    <row r="294" spans="22:24" x14ac:dyDescent="0.25">
      <c r="V294"/>
      <c r="W294"/>
      <c r="X294"/>
    </row>
    <row r="295" spans="22:24" x14ac:dyDescent="0.25">
      <c r="V295"/>
      <c r="W295"/>
      <c r="X295"/>
    </row>
    <row r="296" spans="22:24" x14ac:dyDescent="0.25">
      <c r="V296"/>
      <c r="W296"/>
      <c r="X296"/>
    </row>
    <row r="297" spans="22:24" x14ac:dyDescent="0.25">
      <c r="V297"/>
      <c r="W297"/>
      <c r="X297"/>
    </row>
    <row r="298" spans="22:24" x14ac:dyDescent="0.25">
      <c r="V298"/>
      <c r="W298"/>
      <c r="X298"/>
    </row>
    <row r="299" spans="22:24" x14ac:dyDescent="0.25">
      <c r="V299"/>
      <c r="W299"/>
      <c r="X299"/>
    </row>
    <row r="300" spans="22:24" x14ac:dyDescent="0.25">
      <c r="V300"/>
      <c r="W300"/>
      <c r="X300"/>
    </row>
    <row r="301" spans="22:24" x14ac:dyDescent="0.25">
      <c r="V301"/>
      <c r="W301"/>
      <c r="X301"/>
    </row>
    <row r="302" spans="22:24" x14ac:dyDescent="0.25">
      <c r="V302"/>
      <c r="W302"/>
      <c r="X302"/>
    </row>
    <row r="303" spans="22:24" x14ac:dyDescent="0.25">
      <c r="V303"/>
      <c r="W303"/>
      <c r="X303"/>
    </row>
    <row r="304" spans="22:24" x14ac:dyDescent="0.25">
      <c r="V304"/>
      <c r="W304"/>
      <c r="X304"/>
    </row>
    <row r="305" spans="22:24" x14ac:dyDescent="0.25">
      <c r="V305"/>
      <c r="W305"/>
      <c r="X305"/>
    </row>
    <row r="306" spans="22:24" x14ac:dyDescent="0.25">
      <c r="V306"/>
      <c r="W306"/>
      <c r="X306"/>
    </row>
    <row r="307" spans="22:24" x14ac:dyDescent="0.25">
      <c r="V307"/>
      <c r="W307"/>
      <c r="X307"/>
    </row>
    <row r="308" spans="22:24" x14ac:dyDescent="0.25">
      <c r="V308"/>
      <c r="W308"/>
      <c r="X308"/>
    </row>
    <row r="309" spans="22:24" x14ac:dyDescent="0.25">
      <c r="V309"/>
      <c r="W309"/>
      <c r="X309"/>
    </row>
    <row r="310" spans="22:24" x14ac:dyDescent="0.25">
      <c r="V310"/>
      <c r="W310"/>
      <c r="X310"/>
    </row>
    <row r="311" spans="22:24" x14ac:dyDescent="0.25">
      <c r="V311"/>
      <c r="W311"/>
      <c r="X311"/>
    </row>
    <row r="312" spans="22:24" x14ac:dyDescent="0.25">
      <c r="V312"/>
      <c r="W312"/>
      <c r="X312"/>
    </row>
    <row r="313" spans="22:24" x14ac:dyDescent="0.25">
      <c r="V313"/>
      <c r="W313"/>
      <c r="X313"/>
    </row>
    <row r="314" spans="22:24" x14ac:dyDescent="0.25">
      <c r="V314"/>
      <c r="W314"/>
      <c r="X314"/>
    </row>
    <row r="315" spans="22:24" x14ac:dyDescent="0.25">
      <c r="V315"/>
      <c r="W315"/>
      <c r="X315"/>
    </row>
    <row r="316" spans="22:24" x14ac:dyDescent="0.25">
      <c r="V316"/>
      <c r="W316"/>
      <c r="X316"/>
    </row>
    <row r="317" spans="22:24" x14ac:dyDescent="0.25">
      <c r="V317"/>
      <c r="W317"/>
      <c r="X317"/>
    </row>
    <row r="318" spans="22:24" x14ac:dyDescent="0.25">
      <c r="V318"/>
      <c r="W318"/>
      <c r="X318"/>
    </row>
    <row r="319" spans="22:24" x14ac:dyDescent="0.25">
      <c r="V319"/>
      <c r="W319"/>
      <c r="X319"/>
    </row>
    <row r="320" spans="22:24" x14ac:dyDescent="0.25">
      <c r="V320"/>
      <c r="W320"/>
      <c r="X320"/>
    </row>
    <row r="321" spans="22:24" x14ac:dyDescent="0.25">
      <c r="V321"/>
      <c r="W321"/>
      <c r="X321"/>
    </row>
    <row r="322" spans="22:24" x14ac:dyDescent="0.25">
      <c r="V322"/>
      <c r="W322"/>
      <c r="X322"/>
    </row>
    <row r="323" spans="22:24" x14ac:dyDescent="0.25">
      <c r="V323"/>
      <c r="W323"/>
      <c r="X323"/>
    </row>
    <row r="324" spans="22:24" x14ac:dyDescent="0.25">
      <c r="V324"/>
      <c r="W324"/>
      <c r="X324"/>
    </row>
    <row r="325" spans="22:24" x14ac:dyDescent="0.25">
      <c r="V325"/>
      <c r="W325"/>
      <c r="X325"/>
    </row>
    <row r="326" spans="22:24" x14ac:dyDescent="0.25">
      <c r="V326"/>
      <c r="W326"/>
      <c r="X326"/>
    </row>
    <row r="327" spans="22:24" x14ac:dyDescent="0.25">
      <c r="V327"/>
      <c r="W327"/>
      <c r="X327"/>
    </row>
    <row r="328" spans="22:24" x14ac:dyDescent="0.25">
      <c r="V328"/>
      <c r="W328"/>
      <c r="X328"/>
    </row>
    <row r="329" spans="22:24" x14ac:dyDescent="0.25">
      <c r="V329"/>
      <c r="W329"/>
      <c r="X329"/>
    </row>
    <row r="330" spans="22:24" x14ac:dyDescent="0.25">
      <c r="V330"/>
      <c r="W330"/>
      <c r="X330"/>
    </row>
    <row r="331" spans="22:24" x14ac:dyDescent="0.25">
      <c r="V331"/>
      <c r="W331"/>
      <c r="X331"/>
    </row>
    <row r="332" spans="22:24" x14ac:dyDescent="0.25">
      <c r="V332"/>
      <c r="W332"/>
      <c r="X332"/>
    </row>
    <row r="333" spans="22:24" x14ac:dyDescent="0.25">
      <c r="V333"/>
      <c r="W333"/>
      <c r="X333"/>
    </row>
    <row r="334" spans="22:24" x14ac:dyDescent="0.25">
      <c r="V334"/>
      <c r="W334"/>
      <c r="X334"/>
    </row>
    <row r="335" spans="22:24" x14ac:dyDescent="0.25">
      <c r="V335"/>
      <c r="W335"/>
      <c r="X335"/>
    </row>
    <row r="336" spans="22:24" x14ac:dyDescent="0.25">
      <c r="V336"/>
      <c r="W336"/>
      <c r="X336"/>
    </row>
    <row r="337" spans="22:24" x14ac:dyDescent="0.25">
      <c r="V337"/>
      <c r="W337"/>
      <c r="X337"/>
    </row>
    <row r="338" spans="22:24" x14ac:dyDescent="0.25">
      <c r="V338"/>
      <c r="W338"/>
      <c r="X338"/>
    </row>
    <row r="339" spans="22:24" x14ac:dyDescent="0.25">
      <c r="V339"/>
      <c r="W339"/>
      <c r="X339"/>
    </row>
    <row r="340" spans="22:24" x14ac:dyDescent="0.25">
      <c r="V340"/>
      <c r="W340"/>
      <c r="X340"/>
    </row>
    <row r="341" spans="22:24" x14ac:dyDescent="0.25">
      <c r="V341"/>
      <c r="W341"/>
      <c r="X341"/>
    </row>
    <row r="342" spans="22:24" x14ac:dyDescent="0.25">
      <c r="V342"/>
      <c r="W342"/>
      <c r="X342"/>
    </row>
    <row r="343" spans="22:24" x14ac:dyDescent="0.25">
      <c r="V343"/>
      <c r="W343"/>
      <c r="X343"/>
    </row>
    <row r="344" spans="22:24" x14ac:dyDescent="0.25">
      <c r="V344"/>
      <c r="W344"/>
      <c r="X344"/>
    </row>
    <row r="345" spans="22:24" x14ac:dyDescent="0.25">
      <c r="V345"/>
      <c r="W345"/>
      <c r="X345"/>
    </row>
    <row r="346" spans="22:24" x14ac:dyDescent="0.25">
      <c r="V346"/>
      <c r="W346"/>
      <c r="X346"/>
    </row>
    <row r="347" spans="22:24" x14ac:dyDescent="0.25">
      <c r="V347"/>
      <c r="W347"/>
      <c r="X347"/>
    </row>
    <row r="348" spans="22:24" x14ac:dyDescent="0.25">
      <c r="V348"/>
      <c r="W348"/>
      <c r="X348"/>
    </row>
    <row r="349" spans="22:24" x14ac:dyDescent="0.25">
      <c r="V349"/>
      <c r="W349"/>
      <c r="X349"/>
    </row>
    <row r="350" spans="22:24" x14ac:dyDescent="0.25">
      <c r="V350"/>
      <c r="W350"/>
      <c r="X350"/>
    </row>
    <row r="351" spans="22:24" x14ac:dyDescent="0.25">
      <c r="V351"/>
      <c r="W351"/>
      <c r="X351"/>
    </row>
    <row r="352" spans="22:24" x14ac:dyDescent="0.25">
      <c r="V352"/>
      <c r="W352"/>
      <c r="X352"/>
    </row>
    <row r="353" spans="22:24" x14ac:dyDescent="0.25">
      <c r="V353"/>
      <c r="W353"/>
      <c r="X353"/>
    </row>
    <row r="354" spans="22:24" x14ac:dyDescent="0.25">
      <c r="V354"/>
      <c r="W354"/>
      <c r="X354"/>
    </row>
    <row r="355" spans="22:24" x14ac:dyDescent="0.25">
      <c r="V355"/>
      <c r="W355"/>
      <c r="X355"/>
    </row>
    <row r="356" spans="22:24" x14ac:dyDescent="0.25">
      <c r="V356"/>
      <c r="W356"/>
      <c r="X356"/>
    </row>
    <row r="357" spans="22:24" x14ac:dyDescent="0.25">
      <c r="V357"/>
      <c r="W357"/>
      <c r="X357"/>
    </row>
    <row r="358" spans="22:24" x14ac:dyDescent="0.25">
      <c r="V358"/>
      <c r="W358"/>
      <c r="X358"/>
    </row>
    <row r="359" spans="22:24" x14ac:dyDescent="0.25">
      <c r="V359"/>
      <c r="W359"/>
      <c r="X359"/>
    </row>
    <row r="360" spans="22:24" x14ac:dyDescent="0.25">
      <c r="V360"/>
      <c r="W360"/>
      <c r="X360"/>
    </row>
    <row r="361" spans="22:24" x14ac:dyDescent="0.25">
      <c r="V361"/>
      <c r="W361"/>
      <c r="X361"/>
    </row>
    <row r="362" spans="22:24" x14ac:dyDescent="0.25">
      <c r="V362"/>
      <c r="W362"/>
      <c r="X362"/>
    </row>
    <row r="363" spans="22:24" x14ac:dyDescent="0.25">
      <c r="V363"/>
      <c r="W363"/>
      <c r="X363"/>
    </row>
    <row r="364" spans="22:24" x14ac:dyDescent="0.25">
      <c r="V364"/>
      <c r="W364"/>
      <c r="X364"/>
    </row>
    <row r="365" spans="22:24" x14ac:dyDescent="0.25">
      <c r="V365"/>
      <c r="W365"/>
      <c r="X365"/>
    </row>
    <row r="366" spans="22:24" x14ac:dyDescent="0.25">
      <c r="V366"/>
      <c r="W366"/>
      <c r="X366"/>
    </row>
    <row r="367" spans="22:24" x14ac:dyDescent="0.25">
      <c r="V367"/>
      <c r="W367"/>
      <c r="X367"/>
    </row>
    <row r="368" spans="22:24" x14ac:dyDescent="0.25">
      <c r="V368"/>
      <c r="W368"/>
      <c r="X368"/>
    </row>
    <row r="369" spans="22:24" x14ac:dyDescent="0.25">
      <c r="V369"/>
      <c r="W369"/>
      <c r="X369"/>
    </row>
    <row r="370" spans="22:24" x14ac:dyDescent="0.25">
      <c r="V370"/>
      <c r="W370"/>
      <c r="X370"/>
    </row>
    <row r="371" spans="22:24" x14ac:dyDescent="0.25">
      <c r="V371"/>
      <c r="W371"/>
      <c r="X371"/>
    </row>
    <row r="372" spans="22:24" x14ac:dyDescent="0.25">
      <c r="V372"/>
      <c r="W372"/>
      <c r="X372"/>
    </row>
    <row r="373" spans="22:24" x14ac:dyDescent="0.25">
      <c r="V373"/>
      <c r="W373"/>
      <c r="X373"/>
    </row>
    <row r="374" spans="22:24" x14ac:dyDescent="0.25">
      <c r="V374"/>
      <c r="W374"/>
      <c r="X374"/>
    </row>
    <row r="375" spans="22:24" x14ac:dyDescent="0.25">
      <c r="V375"/>
      <c r="W375"/>
      <c r="X375"/>
    </row>
    <row r="376" spans="22:24" x14ac:dyDescent="0.25">
      <c r="V376"/>
      <c r="W376"/>
      <c r="X376"/>
    </row>
    <row r="377" spans="22:24" x14ac:dyDescent="0.25">
      <c r="V377"/>
      <c r="W377"/>
      <c r="X377"/>
    </row>
    <row r="378" spans="22:24" x14ac:dyDescent="0.25">
      <c r="V378"/>
      <c r="W378"/>
      <c r="X378"/>
    </row>
    <row r="379" spans="22:24" x14ac:dyDescent="0.25">
      <c r="V379"/>
      <c r="W379"/>
      <c r="X379"/>
    </row>
    <row r="380" spans="22:24" x14ac:dyDescent="0.25">
      <c r="V380"/>
      <c r="W380"/>
      <c r="X380"/>
    </row>
    <row r="381" spans="22:24" x14ac:dyDescent="0.25">
      <c r="V381"/>
      <c r="W381"/>
      <c r="X381"/>
    </row>
    <row r="382" spans="22:24" x14ac:dyDescent="0.25">
      <c r="V382"/>
      <c r="W382"/>
      <c r="X382"/>
    </row>
    <row r="383" spans="22:24" x14ac:dyDescent="0.25">
      <c r="V383"/>
      <c r="W383"/>
      <c r="X383"/>
    </row>
    <row r="384" spans="22:24" x14ac:dyDescent="0.25">
      <c r="V384"/>
      <c r="W384"/>
      <c r="X384"/>
    </row>
    <row r="385" spans="22:24" x14ac:dyDescent="0.25">
      <c r="V385"/>
      <c r="W385"/>
      <c r="X385"/>
    </row>
    <row r="386" spans="22:24" x14ac:dyDescent="0.25">
      <c r="V386"/>
      <c r="W386"/>
      <c r="X386"/>
    </row>
    <row r="387" spans="22:24" x14ac:dyDescent="0.25">
      <c r="V387"/>
      <c r="W387"/>
      <c r="X387"/>
    </row>
    <row r="388" spans="22:24" x14ac:dyDescent="0.25">
      <c r="V388"/>
      <c r="W388"/>
      <c r="X388"/>
    </row>
    <row r="389" spans="22:24" x14ac:dyDescent="0.25">
      <c r="V389"/>
      <c r="W389"/>
      <c r="X389"/>
    </row>
    <row r="390" spans="22:24" x14ac:dyDescent="0.25">
      <c r="V390"/>
      <c r="W390"/>
      <c r="X390"/>
    </row>
    <row r="391" spans="22:24" x14ac:dyDescent="0.25">
      <c r="V391"/>
      <c r="W391"/>
      <c r="X391"/>
    </row>
    <row r="392" spans="22:24" x14ac:dyDescent="0.25">
      <c r="V392"/>
      <c r="W392"/>
      <c r="X392"/>
    </row>
    <row r="393" spans="22:24" x14ac:dyDescent="0.25">
      <c r="V393"/>
      <c r="W393"/>
      <c r="X393"/>
    </row>
    <row r="394" spans="22:24" x14ac:dyDescent="0.25">
      <c r="V394"/>
      <c r="W394"/>
      <c r="X394"/>
    </row>
    <row r="395" spans="22:24" x14ac:dyDescent="0.25">
      <c r="V395"/>
      <c r="W395"/>
      <c r="X395"/>
    </row>
    <row r="396" spans="22:24" x14ac:dyDescent="0.25">
      <c r="V396"/>
      <c r="W396"/>
      <c r="X396"/>
    </row>
    <row r="397" spans="22:24" x14ac:dyDescent="0.25">
      <c r="V397"/>
      <c r="W397"/>
      <c r="X397"/>
    </row>
    <row r="398" spans="22:24" x14ac:dyDescent="0.25">
      <c r="V398"/>
      <c r="W398"/>
      <c r="X398"/>
    </row>
    <row r="399" spans="22:24" x14ac:dyDescent="0.25">
      <c r="V399"/>
      <c r="W399"/>
      <c r="X399"/>
    </row>
    <row r="400" spans="22:24" x14ac:dyDescent="0.25">
      <c r="V400"/>
      <c r="W400"/>
      <c r="X400"/>
    </row>
    <row r="401" spans="22:24" x14ac:dyDescent="0.25">
      <c r="V401"/>
      <c r="W401"/>
      <c r="X401"/>
    </row>
    <row r="402" spans="22:24" x14ac:dyDescent="0.25">
      <c r="V402"/>
      <c r="W402"/>
      <c r="X402"/>
    </row>
    <row r="403" spans="22:24" x14ac:dyDescent="0.25">
      <c r="V403"/>
      <c r="W403"/>
      <c r="X403"/>
    </row>
    <row r="404" spans="22:24" x14ac:dyDescent="0.25">
      <c r="V404"/>
      <c r="W404"/>
      <c r="X404"/>
    </row>
    <row r="405" spans="22:24" x14ac:dyDescent="0.25">
      <c r="V405"/>
      <c r="W405"/>
      <c r="X405"/>
    </row>
    <row r="406" spans="22:24" x14ac:dyDescent="0.25">
      <c r="V406"/>
      <c r="W406"/>
      <c r="X406"/>
    </row>
    <row r="407" spans="22:24" x14ac:dyDescent="0.25">
      <c r="V407"/>
      <c r="W407"/>
      <c r="X407"/>
    </row>
    <row r="408" spans="22:24" x14ac:dyDescent="0.25">
      <c r="V408"/>
      <c r="W408"/>
      <c r="X408"/>
    </row>
    <row r="409" spans="22:24" x14ac:dyDescent="0.25">
      <c r="V409"/>
      <c r="W409"/>
      <c r="X409"/>
    </row>
    <row r="410" spans="22:24" x14ac:dyDescent="0.25">
      <c r="V410"/>
      <c r="W410"/>
      <c r="X410"/>
    </row>
    <row r="411" spans="22:24" x14ac:dyDescent="0.25">
      <c r="V411"/>
      <c r="W411"/>
      <c r="X411"/>
    </row>
    <row r="412" spans="22:24" x14ac:dyDescent="0.25">
      <c r="V412"/>
      <c r="W412"/>
      <c r="X412"/>
    </row>
    <row r="413" spans="22:24" x14ac:dyDescent="0.25">
      <c r="V413"/>
      <c r="W413"/>
      <c r="X413"/>
    </row>
    <row r="414" spans="22:24" x14ac:dyDescent="0.25">
      <c r="V414"/>
      <c r="W414"/>
      <c r="X414"/>
    </row>
    <row r="415" spans="22:24" x14ac:dyDescent="0.25">
      <c r="V415"/>
      <c r="W415"/>
      <c r="X415"/>
    </row>
    <row r="416" spans="22:24" x14ac:dyDescent="0.25">
      <c r="V416"/>
      <c r="W416"/>
      <c r="X416"/>
    </row>
    <row r="417" spans="22:24" x14ac:dyDescent="0.25">
      <c r="V417"/>
      <c r="W417"/>
      <c r="X417"/>
    </row>
    <row r="418" spans="22:24" x14ac:dyDescent="0.25">
      <c r="V418"/>
      <c r="W418"/>
      <c r="X418"/>
    </row>
    <row r="419" spans="22:24" x14ac:dyDescent="0.25">
      <c r="V419"/>
      <c r="W419"/>
      <c r="X419"/>
    </row>
    <row r="420" spans="22:24" x14ac:dyDescent="0.25">
      <c r="V420"/>
      <c r="W420"/>
      <c r="X420"/>
    </row>
    <row r="421" spans="22:24" x14ac:dyDescent="0.25">
      <c r="V421"/>
      <c r="W421"/>
      <c r="X421"/>
    </row>
    <row r="422" spans="22:24" x14ac:dyDescent="0.25">
      <c r="V422"/>
      <c r="W422"/>
      <c r="X422"/>
    </row>
    <row r="423" spans="22:24" x14ac:dyDescent="0.25">
      <c r="V423"/>
      <c r="W423"/>
      <c r="X423"/>
    </row>
    <row r="424" spans="22:24" x14ac:dyDescent="0.25">
      <c r="V424"/>
      <c r="W424"/>
      <c r="X424"/>
    </row>
    <row r="425" spans="22:24" x14ac:dyDescent="0.25">
      <c r="V425"/>
      <c r="W425"/>
      <c r="X425"/>
    </row>
    <row r="426" spans="22:24" x14ac:dyDescent="0.25">
      <c r="V426"/>
      <c r="W426"/>
      <c r="X426"/>
    </row>
    <row r="427" spans="22:24" x14ac:dyDescent="0.25">
      <c r="V427"/>
      <c r="W427"/>
      <c r="X427"/>
    </row>
    <row r="428" spans="22:24" x14ac:dyDescent="0.25">
      <c r="V428"/>
      <c r="W428"/>
      <c r="X428"/>
    </row>
    <row r="429" spans="22:24" x14ac:dyDescent="0.25">
      <c r="V429"/>
      <c r="W429"/>
      <c r="X429"/>
    </row>
    <row r="430" spans="22:24" x14ac:dyDescent="0.25">
      <c r="V430"/>
      <c r="W430"/>
      <c r="X430"/>
    </row>
    <row r="431" spans="22:24" x14ac:dyDescent="0.25">
      <c r="V431"/>
      <c r="W431"/>
      <c r="X431"/>
    </row>
    <row r="432" spans="22:24" x14ac:dyDescent="0.25">
      <c r="V432"/>
      <c r="W432"/>
      <c r="X432"/>
    </row>
    <row r="433" spans="22:24" x14ac:dyDescent="0.25">
      <c r="V433"/>
      <c r="W433"/>
      <c r="X433"/>
    </row>
    <row r="434" spans="22:24" x14ac:dyDescent="0.25">
      <c r="V434"/>
      <c r="W434"/>
      <c r="X434"/>
    </row>
    <row r="435" spans="22:24" x14ac:dyDescent="0.25">
      <c r="V435"/>
      <c r="W435"/>
      <c r="X435"/>
    </row>
    <row r="436" spans="22:24" x14ac:dyDescent="0.25">
      <c r="V436"/>
      <c r="W436"/>
      <c r="X436"/>
    </row>
    <row r="437" spans="22:24" x14ac:dyDescent="0.25">
      <c r="V437"/>
      <c r="W437"/>
      <c r="X437"/>
    </row>
    <row r="438" spans="22:24" x14ac:dyDescent="0.25">
      <c r="V438"/>
      <c r="W438"/>
      <c r="X438"/>
    </row>
    <row r="439" spans="22:24" x14ac:dyDescent="0.25">
      <c r="V439"/>
      <c r="W439"/>
      <c r="X439"/>
    </row>
    <row r="440" spans="22:24" x14ac:dyDescent="0.25">
      <c r="V440"/>
      <c r="W440"/>
      <c r="X440"/>
    </row>
    <row r="441" spans="22:24" x14ac:dyDescent="0.25">
      <c r="V441"/>
      <c r="W441"/>
      <c r="X441"/>
    </row>
    <row r="442" spans="22:24" x14ac:dyDescent="0.25">
      <c r="V442"/>
      <c r="W442"/>
      <c r="X442"/>
    </row>
    <row r="443" spans="22:24" x14ac:dyDescent="0.25">
      <c r="V443"/>
      <c r="W443"/>
      <c r="X443"/>
    </row>
    <row r="444" spans="22:24" x14ac:dyDescent="0.25">
      <c r="V444"/>
      <c r="W444"/>
      <c r="X444"/>
    </row>
    <row r="445" spans="22:24" x14ac:dyDescent="0.25">
      <c r="V445"/>
      <c r="W445"/>
      <c r="X445"/>
    </row>
    <row r="446" spans="22:24" x14ac:dyDescent="0.25">
      <c r="V446"/>
      <c r="W446"/>
      <c r="X446"/>
    </row>
    <row r="447" spans="22:24" x14ac:dyDescent="0.25">
      <c r="V447"/>
      <c r="W447"/>
      <c r="X447"/>
    </row>
    <row r="448" spans="22:24" x14ac:dyDescent="0.25">
      <c r="V448"/>
      <c r="W448"/>
      <c r="X448"/>
    </row>
    <row r="449" spans="22:24" x14ac:dyDescent="0.25">
      <c r="V449"/>
      <c r="W449"/>
      <c r="X449"/>
    </row>
    <row r="450" spans="22:24" x14ac:dyDescent="0.25">
      <c r="V450"/>
      <c r="W450"/>
      <c r="X450"/>
    </row>
    <row r="451" spans="22:24" x14ac:dyDescent="0.25">
      <c r="V451"/>
      <c r="W451"/>
      <c r="X451"/>
    </row>
    <row r="452" spans="22:24" x14ac:dyDescent="0.25">
      <c r="V452"/>
      <c r="W452"/>
      <c r="X452"/>
    </row>
    <row r="453" spans="22:24" x14ac:dyDescent="0.25">
      <c r="V453"/>
      <c r="W453"/>
      <c r="X453"/>
    </row>
    <row r="454" spans="22:24" x14ac:dyDescent="0.25">
      <c r="V454"/>
      <c r="W454"/>
      <c r="X454"/>
    </row>
    <row r="455" spans="22:24" x14ac:dyDescent="0.25">
      <c r="V455"/>
      <c r="W455"/>
      <c r="X455"/>
    </row>
    <row r="456" spans="22:24" x14ac:dyDescent="0.25">
      <c r="V456"/>
      <c r="W456"/>
      <c r="X456"/>
    </row>
    <row r="457" spans="22:24" x14ac:dyDescent="0.25">
      <c r="V457"/>
      <c r="W457"/>
      <c r="X457"/>
    </row>
    <row r="458" spans="22:24" x14ac:dyDescent="0.25">
      <c r="V458"/>
      <c r="W458"/>
      <c r="X458"/>
    </row>
    <row r="459" spans="22:24" x14ac:dyDescent="0.25">
      <c r="V459"/>
      <c r="W459"/>
      <c r="X459"/>
    </row>
    <row r="460" spans="22:24" x14ac:dyDescent="0.25">
      <c r="V460"/>
      <c r="W460"/>
      <c r="X460"/>
    </row>
    <row r="461" spans="22:24" x14ac:dyDescent="0.25">
      <c r="V461"/>
      <c r="W461"/>
      <c r="X461"/>
    </row>
    <row r="462" spans="22:24" x14ac:dyDescent="0.25">
      <c r="V462"/>
      <c r="W462"/>
      <c r="X462"/>
    </row>
    <row r="463" spans="22:24" x14ac:dyDescent="0.25">
      <c r="V463"/>
      <c r="W463"/>
      <c r="X463"/>
    </row>
    <row r="464" spans="22:24" x14ac:dyDescent="0.25">
      <c r="V464"/>
      <c r="W464"/>
      <c r="X464"/>
    </row>
    <row r="465" spans="22:24" x14ac:dyDescent="0.25">
      <c r="V465"/>
      <c r="W465"/>
      <c r="X465"/>
    </row>
    <row r="466" spans="22:24" x14ac:dyDescent="0.25">
      <c r="V466"/>
      <c r="W466"/>
      <c r="X466"/>
    </row>
    <row r="467" spans="22:24" x14ac:dyDescent="0.25">
      <c r="V467"/>
      <c r="W467"/>
      <c r="X467"/>
    </row>
    <row r="468" spans="22:24" x14ac:dyDescent="0.25">
      <c r="V468"/>
      <c r="W468"/>
      <c r="X468"/>
    </row>
    <row r="469" spans="22:24" x14ac:dyDescent="0.25">
      <c r="V469"/>
      <c r="W469"/>
      <c r="X469"/>
    </row>
    <row r="470" spans="22:24" x14ac:dyDescent="0.25">
      <c r="V470"/>
      <c r="W470"/>
      <c r="X470"/>
    </row>
    <row r="471" spans="22:24" x14ac:dyDescent="0.25">
      <c r="V471"/>
      <c r="W471"/>
      <c r="X471"/>
    </row>
    <row r="472" spans="22:24" x14ac:dyDescent="0.25">
      <c r="V472"/>
      <c r="W472"/>
      <c r="X472"/>
    </row>
    <row r="473" spans="22:24" x14ac:dyDescent="0.25">
      <c r="V473"/>
      <c r="W473"/>
      <c r="X473"/>
    </row>
    <row r="474" spans="22:24" x14ac:dyDescent="0.25">
      <c r="V474"/>
      <c r="W474"/>
      <c r="X474"/>
    </row>
    <row r="475" spans="22:24" x14ac:dyDescent="0.25">
      <c r="V475"/>
      <c r="W475"/>
      <c r="X475"/>
    </row>
    <row r="476" spans="22:24" x14ac:dyDescent="0.25">
      <c r="V476"/>
      <c r="W476"/>
      <c r="X476"/>
    </row>
    <row r="477" spans="22:24" x14ac:dyDescent="0.25">
      <c r="V477"/>
      <c r="W477"/>
      <c r="X477"/>
    </row>
    <row r="478" spans="22:24" x14ac:dyDescent="0.25">
      <c r="V478"/>
      <c r="W478"/>
      <c r="X478"/>
    </row>
    <row r="479" spans="22:24" x14ac:dyDescent="0.25">
      <c r="V479"/>
      <c r="W479"/>
      <c r="X479"/>
    </row>
    <row r="480" spans="22:24" x14ac:dyDescent="0.25">
      <c r="V480"/>
      <c r="W480"/>
      <c r="X480"/>
    </row>
    <row r="481" spans="22:24" x14ac:dyDescent="0.25">
      <c r="V481"/>
      <c r="W481"/>
      <c r="X481"/>
    </row>
    <row r="482" spans="22:24" x14ac:dyDescent="0.25">
      <c r="V482"/>
      <c r="W482"/>
      <c r="X482"/>
    </row>
    <row r="483" spans="22:24" x14ac:dyDescent="0.25">
      <c r="V483"/>
      <c r="W483"/>
      <c r="X483"/>
    </row>
    <row r="484" spans="22:24" x14ac:dyDescent="0.25">
      <c r="V484"/>
      <c r="W484"/>
      <c r="X484"/>
    </row>
    <row r="485" spans="22:24" x14ac:dyDescent="0.25">
      <c r="V485"/>
      <c r="W485"/>
      <c r="X485"/>
    </row>
    <row r="486" spans="22:24" x14ac:dyDescent="0.25">
      <c r="V486"/>
      <c r="W486"/>
      <c r="X486"/>
    </row>
    <row r="487" spans="22:24" x14ac:dyDescent="0.25">
      <c r="V487"/>
      <c r="W487"/>
      <c r="X487"/>
    </row>
    <row r="488" spans="22:24" x14ac:dyDescent="0.25">
      <c r="V488"/>
      <c r="W488"/>
      <c r="X488"/>
    </row>
    <row r="489" spans="22:24" x14ac:dyDescent="0.25">
      <c r="V489"/>
      <c r="W489"/>
      <c r="X489"/>
    </row>
    <row r="490" spans="22:24" x14ac:dyDescent="0.25">
      <c r="V490"/>
      <c r="W490"/>
      <c r="X490"/>
    </row>
    <row r="491" spans="22:24" x14ac:dyDescent="0.25">
      <c r="V491"/>
      <c r="W491"/>
      <c r="X491"/>
    </row>
    <row r="492" spans="22:24" x14ac:dyDescent="0.25">
      <c r="V492"/>
      <c r="W492"/>
      <c r="X492"/>
    </row>
    <row r="493" spans="22:24" x14ac:dyDescent="0.25">
      <c r="V493"/>
      <c r="W493"/>
      <c r="X493"/>
    </row>
    <row r="494" spans="22:24" x14ac:dyDescent="0.25">
      <c r="V494"/>
      <c r="W494"/>
      <c r="X494"/>
    </row>
    <row r="495" spans="22:24" x14ac:dyDescent="0.25">
      <c r="V495"/>
      <c r="W495"/>
      <c r="X495"/>
    </row>
    <row r="496" spans="22:24" x14ac:dyDescent="0.25">
      <c r="V496"/>
      <c r="W496"/>
      <c r="X496"/>
    </row>
    <row r="497" spans="22:24" x14ac:dyDescent="0.25">
      <c r="V497"/>
      <c r="W497"/>
      <c r="X497"/>
    </row>
    <row r="498" spans="22:24" x14ac:dyDescent="0.25">
      <c r="V498"/>
      <c r="W498"/>
      <c r="X498"/>
    </row>
    <row r="499" spans="22:24" x14ac:dyDescent="0.25">
      <c r="V499"/>
      <c r="W499"/>
      <c r="X499"/>
    </row>
    <row r="500" spans="22:24" x14ac:dyDescent="0.25">
      <c r="V500"/>
      <c r="W500"/>
      <c r="X500"/>
    </row>
    <row r="501" spans="22:24" x14ac:dyDescent="0.25">
      <c r="V501"/>
      <c r="W501"/>
      <c r="X501"/>
    </row>
    <row r="502" spans="22:24" x14ac:dyDescent="0.25">
      <c r="V502"/>
      <c r="W502"/>
      <c r="X502"/>
    </row>
    <row r="503" spans="22:24" x14ac:dyDescent="0.25">
      <c r="V503"/>
      <c r="W503"/>
      <c r="X503"/>
    </row>
    <row r="504" spans="22:24" x14ac:dyDescent="0.25">
      <c r="V504"/>
      <c r="W504"/>
      <c r="X504"/>
    </row>
    <row r="505" spans="22:24" x14ac:dyDescent="0.25">
      <c r="V505"/>
      <c r="W505"/>
      <c r="X505"/>
    </row>
    <row r="506" spans="22:24" x14ac:dyDescent="0.25">
      <c r="V506"/>
      <c r="W506"/>
      <c r="X506"/>
    </row>
    <row r="507" spans="22:24" x14ac:dyDescent="0.25">
      <c r="V507"/>
      <c r="W507"/>
      <c r="X507"/>
    </row>
    <row r="508" spans="22:24" x14ac:dyDescent="0.25">
      <c r="V508"/>
      <c r="W508"/>
      <c r="X508"/>
    </row>
    <row r="509" spans="22:24" x14ac:dyDescent="0.25">
      <c r="V509"/>
      <c r="W509"/>
      <c r="X509"/>
    </row>
    <row r="510" spans="22:24" x14ac:dyDescent="0.25">
      <c r="V510"/>
      <c r="W510"/>
      <c r="X510"/>
    </row>
    <row r="511" spans="22:24" x14ac:dyDescent="0.25">
      <c r="V511"/>
      <c r="W511"/>
      <c r="X511"/>
    </row>
    <row r="512" spans="22:24" x14ac:dyDescent="0.25">
      <c r="V512"/>
      <c r="W512"/>
      <c r="X512"/>
    </row>
    <row r="513" spans="22:24" x14ac:dyDescent="0.25">
      <c r="V513"/>
      <c r="W513"/>
      <c r="X513"/>
    </row>
    <row r="514" spans="22:24" x14ac:dyDescent="0.25">
      <c r="V514"/>
      <c r="W514"/>
      <c r="X514"/>
    </row>
    <row r="515" spans="22:24" x14ac:dyDescent="0.25">
      <c r="V515"/>
      <c r="W515"/>
      <c r="X515"/>
    </row>
    <row r="516" spans="22:24" x14ac:dyDescent="0.25">
      <c r="V516"/>
      <c r="W516"/>
      <c r="X516"/>
    </row>
    <row r="517" spans="22:24" x14ac:dyDescent="0.25">
      <c r="V517"/>
      <c r="W517"/>
      <c r="X517"/>
    </row>
    <row r="518" spans="22:24" x14ac:dyDescent="0.25">
      <c r="V518"/>
      <c r="W518"/>
      <c r="X518"/>
    </row>
    <row r="519" spans="22:24" x14ac:dyDescent="0.25">
      <c r="V519"/>
      <c r="W519"/>
      <c r="X519"/>
    </row>
    <row r="520" spans="22:24" x14ac:dyDescent="0.25">
      <c r="V520"/>
      <c r="W520"/>
      <c r="X520"/>
    </row>
    <row r="521" spans="22:24" x14ac:dyDescent="0.25">
      <c r="V521"/>
      <c r="W521"/>
      <c r="X521"/>
    </row>
    <row r="522" spans="22:24" x14ac:dyDescent="0.25">
      <c r="V522"/>
      <c r="W522"/>
      <c r="X522"/>
    </row>
    <row r="523" spans="22:24" x14ac:dyDescent="0.25">
      <c r="V523"/>
      <c r="W523"/>
      <c r="X523"/>
    </row>
    <row r="524" spans="22:24" x14ac:dyDescent="0.25">
      <c r="V524"/>
      <c r="W524"/>
      <c r="X524"/>
    </row>
    <row r="525" spans="22:24" x14ac:dyDescent="0.25">
      <c r="V525"/>
      <c r="W525"/>
      <c r="X525"/>
    </row>
    <row r="526" spans="22:24" x14ac:dyDescent="0.25">
      <c r="V526"/>
      <c r="W526"/>
      <c r="X526"/>
    </row>
    <row r="527" spans="22:24" x14ac:dyDescent="0.25">
      <c r="V527"/>
      <c r="W527"/>
      <c r="X527"/>
    </row>
    <row r="528" spans="22:24" x14ac:dyDescent="0.25">
      <c r="V528"/>
      <c r="W528"/>
      <c r="X528"/>
    </row>
    <row r="529" spans="22:24" x14ac:dyDescent="0.25">
      <c r="V529"/>
      <c r="W529"/>
      <c r="X529"/>
    </row>
    <row r="530" spans="22:24" x14ac:dyDescent="0.25">
      <c r="V530"/>
      <c r="W530"/>
      <c r="X530"/>
    </row>
    <row r="531" spans="22:24" x14ac:dyDescent="0.25">
      <c r="V531"/>
      <c r="W531"/>
      <c r="X531"/>
    </row>
    <row r="532" spans="22:24" x14ac:dyDescent="0.25">
      <c r="V532"/>
      <c r="W532"/>
      <c r="X532"/>
    </row>
    <row r="533" spans="22:24" x14ac:dyDescent="0.25">
      <c r="V533"/>
      <c r="W533"/>
      <c r="X533"/>
    </row>
    <row r="534" spans="22:24" x14ac:dyDescent="0.25">
      <c r="V534"/>
      <c r="W534"/>
      <c r="X534"/>
    </row>
    <row r="535" spans="22:24" x14ac:dyDescent="0.25">
      <c r="V535"/>
      <c r="W535"/>
      <c r="X535"/>
    </row>
    <row r="536" spans="22:24" x14ac:dyDescent="0.25">
      <c r="V536"/>
      <c r="W536"/>
      <c r="X536"/>
    </row>
    <row r="537" spans="22:24" x14ac:dyDescent="0.25">
      <c r="V537"/>
      <c r="W537"/>
      <c r="X537"/>
    </row>
    <row r="538" spans="22:24" x14ac:dyDescent="0.25">
      <c r="V538"/>
      <c r="W538"/>
      <c r="X538"/>
    </row>
    <row r="539" spans="22:24" x14ac:dyDescent="0.25">
      <c r="V539"/>
      <c r="W539"/>
      <c r="X539"/>
    </row>
    <row r="540" spans="22:24" x14ac:dyDescent="0.25">
      <c r="V540"/>
      <c r="W540"/>
      <c r="X540"/>
    </row>
    <row r="541" spans="22:24" x14ac:dyDescent="0.25">
      <c r="V541"/>
      <c r="W541"/>
      <c r="X541"/>
    </row>
    <row r="542" spans="22:24" x14ac:dyDescent="0.25">
      <c r="V542"/>
      <c r="W542"/>
      <c r="X542"/>
    </row>
    <row r="543" spans="22:24" x14ac:dyDescent="0.25">
      <c r="V543"/>
      <c r="W543"/>
      <c r="X543"/>
    </row>
    <row r="544" spans="22:24" x14ac:dyDescent="0.25">
      <c r="V544"/>
      <c r="W544"/>
      <c r="X544"/>
    </row>
    <row r="545" spans="22:24" x14ac:dyDescent="0.25">
      <c r="V545"/>
      <c r="W545"/>
      <c r="X545"/>
    </row>
    <row r="546" spans="22:24" x14ac:dyDescent="0.25">
      <c r="V546"/>
      <c r="W546"/>
      <c r="X546"/>
    </row>
    <row r="547" spans="22:24" x14ac:dyDescent="0.25">
      <c r="V547"/>
      <c r="W547"/>
      <c r="X547"/>
    </row>
    <row r="548" spans="22:24" x14ac:dyDescent="0.25">
      <c r="V548"/>
      <c r="W548"/>
      <c r="X548"/>
    </row>
    <row r="549" spans="22:24" x14ac:dyDescent="0.25">
      <c r="V549"/>
      <c r="W549"/>
      <c r="X549"/>
    </row>
    <row r="550" spans="22:24" x14ac:dyDescent="0.25">
      <c r="V550"/>
      <c r="W550"/>
      <c r="X550"/>
    </row>
    <row r="551" spans="22:24" x14ac:dyDescent="0.25">
      <c r="V551"/>
      <c r="W551"/>
      <c r="X551"/>
    </row>
    <row r="552" spans="22:24" x14ac:dyDescent="0.25">
      <c r="V552"/>
      <c r="W552"/>
      <c r="X552"/>
    </row>
    <row r="553" spans="22:24" x14ac:dyDescent="0.25">
      <c r="V553"/>
      <c r="W553"/>
      <c r="X553"/>
    </row>
    <row r="554" spans="22:24" x14ac:dyDescent="0.25">
      <c r="V554"/>
      <c r="W554"/>
      <c r="X554"/>
    </row>
    <row r="555" spans="22:24" x14ac:dyDescent="0.25">
      <c r="V555"/>
      <c r="W555"/>
      <c r="X555"/>
    </row>
    <row r="556" spans="22:24" x14ac:dyDescent="0.25">
      <c r="V556"/>
      <c r="W556"/>
      <c r="X556"/>
    </row>
    <row r="557" spans="22:24" x14ac:dyDescent="0.25">
      <c r="V557"/>
      <c r="W557"/>
      <c r="X557"/>
    </row>
    <row r="558" spans="22:24" x14ac:dyDescent="0.25">
      <c r="V558"/>
      <c r="W558"/>
      <c r="X558"/>
    </row>
    <row r="559" spans="22:24" x14ac:dyDescent="0.25">
      <c r="V559"/>
      <c r="W559"/>
      <c r="X559"/>
    </row>
    <row r="560" spans="22:24" x14ac:dyDescent="0.25">
      <c r="V560"/>
      <c r="W560"/>
      <c r="X560"/>
    </row>
    <row r="561" spans="22:24" x14ac:dyDescent="0.25">
      <c r="V561"/>
      <c r="W561"/>
      <c r="X561"/>
    </row>
    <row r="562" spans="22:24" x14ac:dyDescent="0.25">
      <c r="V562"/>
      <c r="W562"/>
      <c r="X562"/>
    </row>
    <row r="563" spans="22:24" x14ac:dyDescent="0.25">
      <c r="V563"/>
      <c r="W563"/>
      <c r="X563"/>
    </row>
    <row r="564" spans="22:24" x14ac:dyDescent="0.25">
      <c r="V564"/>
      <c r="W564"/>
      <c r="X564"/>
    </row>
    <row r="565" spans="22:24" x14ac:dyDescent="0.25">
      <c r="V565"/>
      <c r="W565"/>
      <c r="X565"/>
    </row>
    <row r="566" spans="22:24" x14ac:dyDescent="0.25">
      <c r="V566"/>
      <c r="W566"/>
      <c r="X566"/>
    </row>
    <row r="567" spans="22:24" x14ac:dyDescent="0.25">
      <c r="V567"/>
      <c r="W567"/>
      <c r="X567"/>
    </row>
    <row r="568" spans="22:24" x14ac:dyDescent="0.25">
      <c r="V568"/>
      <c r="W568"/>
      <c r="X568"/>
    </row>
    <row r="569" spans="22:24" x14ac:dyDescent="0.25">
      <c r="V569"/>
      <c r="W569"/>
      <c r="X569"/>
    </row>
    <row r="570" spans="22:24" x14ac:dyDescent="0.25">
      <c r="V570"/>
      <c r="W570"/>
      <c r="X570"/>
    </row>
    <row r="571" spans="22:24" x14ac:dyDescent="0.25">
      <c r="V571"/>
      <c r="W571"/>
      <c r="X571"/>
    </row>
    <row r="572" spans="22:24" x14ac:dyDescent="0.25">
      <c r="V572"/>
      <c r="W572"/>
      <c r="X572"/>
    </row>
    <row r="573" spans="22:24" x14ac:dyDescent="0.25">
      <c r="V573"/>
      <c r="W573"/>
      <c r="X573"/>
    </row>
    <row r="574" spans="22:24" x14ac:dyDescent="0.25">
      <c r="V574"/>
      <c r="W574"/>
      <c r="X574"/>
    </row>
    <row r="575" spans="22:24" x14ac:dyDescent="0.25">
      <c r="V575"/>
      <c r="W575"/>
      <c r="X575"/>
    </row>
    <row r="576" spans="22:24" x14ac:dyDescent="0.25">
      <c r="V576"/>
      <c r="W576"/>
      <c r="X576"/>
    </row>
    <row r="577" spans="22:24" x14ac:dyDescent="0.25">
      <c r="V577"/>
      <c r="W577"/>
      <c r="X577"/>
    </row>
    <row r="578" spans="22:24" x14ac:dyDescent="0.25">
      <c r="V578"/>
      <c r="W578"/>
      <c r="X578"/>
    </row>
    <row r="579" spans="22:24" x14ac:dyDescent="0.25">
      <c r="V579"/>
      <c r="W579"/>
      <c r="X579"/>
    </row>
    <row r="580" spans="22:24" x14ac:dyDescent="0.25">
      <c r="V580"/>
      <c r="W580"/>
      <c r="X580"/>
    </row>
    <row r="581" spans="22:24" x14ac:dyDescent="0.25">
      <c r="V581"/>
      <c r="W581"/>
      <c r="X581"/>
    </row>
    <row r="582" spans="22:24" x14ac:dyDescent="0.25">
      <c r="V582"/>
      <c r="W582"/>
      <c r="X582"/>
    </row>
    <row r="583" spans="22:24" x14ac:dyDescent="0.25">
      <c r="V583"/>
      <c r="W583"/>
      <c r="X583"/>
    </row>
    <row r="584" spans="22:24" x14ac:dyDescent="0.25">
      <c r="V584"/>
      <c r="W584"/>
      <c r="X584"/>
    </row>
    <row r="585" spans="22:24" x14ac:dyDescent="0.25">
      <c r="V585"/>
      <c r="W585"/>
      <c r="X585"/>
    </row>
    <row r="586" spans="22:24" x14ac:dyDescent="0.25">
      <c r="V586"/>
      <c r="W586"/>
      <c r="X586"/>
    </row>
    <row r="587" spans="22:24" x14ac:dyDescent="0.25">
      <c r="V587"/>
      <c r="W587"/>
      <c r="X587"/>
    </row>
    <row r="588" spans="22:24" x14ac:dyDescent="0.25">
      <c r="V588"/>
      <c r="W588"/>
      <c r="X588"/>
    </row>
    <row r="589" spans="22:24" x14ac:dyDescent="0.25">
      <c r="V589"/>
      <c r="W589"/>
      <c r="X589"/>
    </row>
    <row r="590" spans="22:24" x14ac:dyDescent="0.25">
      <c r="V590"/>
      <c r="W590"/>
      <c r="X590"/>
    </row>
    <row r="591" spans="22:24" x14ac:dyDescent="0.25">
      <c r="V591"/>
      <c r="W591"/>
      <c r="X591"/>
    </row>
    <row r="592" spans="22:24" x14ac:dyDescent="0.25">
      <c r="V592"/>
      <c r="W592"/>
      <c r="X592"/>
    </row>
    <row r="593" spans="22:24" x14ac:dyDescent="0.25">
      <c r="V593"/>
      <c r="W593"/>
      <c r="X593"/>
    </row>
    <row r="594" spans="22:24" x14ac:dyDescent="0.25">
      <c r="V594"/>
      <c r="W594"/>
      <c r="X594"/>
    </row>
    <row r="595" spans="22:24" x14ac:dyDescent="0.25">
      <c r="V595"/>
      <c r="W595"/>
      <c r="X595"/>
    </row>
    <row r="596" spans="22:24" x14ac:dyDescent="0.25">
      <c r="V596"/>
      <c r="W596"/>
      <c r="X596"/>
    </row>
    <row r="597" spans="22:24" x14ac:dyDescent="0.25">
      <c r="V597"/>
      <c r="W597"/>
      <c r="X597"/>
    </row>
    <row r="598" spans="22:24" x14ac:dyDescent="0.25">
      <c r="V598"/>
      <c r="W598"/>
      <c r="X598"/>
    </row>
    <row r="599" spans="22:24" x14ac:dyDescent="0.25">
      <c r="V599"/>
      <c r="W599"/>
      <c r="X599"/>
    </row>
    <row r="600" spans="22:24" x14ac:dyDescent="0.25">
      <c r="V600"/>
      <c r="W600"/>
      <c r="X600"/>
    </row>
    <row r="601" spans="22:24" x14ac:dyDescent="0.25">
      <c r="V601"/>
      <c r="W601"/>
      <c r="X601"/>
    </row>
    <row r="602" spans="22:24" x14ac:dyDescent="0.25">
      <c r="V602"/>
      <c r="W602"/>
      <c r="X602"/>
    </row>
    <row r="603" spans="22:24" x14ac:dyDescent="0.25">
      <c r="V603"/>
      <c r="W603"/>
      <c r="X603"/>
    </row>
    <row r="604" spans="22:24" x14ac:dyDescent="0.25">
      <c r="V604"/>
      <c r="W604"/>
      <c r="X604"/>
    </row>
    <row r="605" spans="22:24" x14ac:dyDescent="0.25">
      <c r="V605"/>
      <c r="W605"/>
      <c r="X605"/>
    </row>
    <row r="606" spans="22:24" x14ac:dyDescent="0.25">
      <c r="V606"/>
      <c r="W606"/>
      <c r="X606"/>
    </row>
    <row r="607" spans="22:24" x14ac:dyDescent="0.25">
      <c r="V607"/>
      <c r="W607"/>
      <c r="X607"/>
    </row>
    <row r="608" spans="22:24" x14ac:dyDescent="0.25">
      <c r="V608"/>
      <c r="W608"/>
      <c r="X608"/>
    </row>
    <row r="609" spans="22:24" x14ac:dyDescent="0.25">
      <c r="V609"/>
      <c r="W609"/>
      <c r="X609"/>
    </row>
    <row r="610" spans="22:24" x14ac:dyDescent="0.25">
      <c r="V610"/>
      <c r="W610"/>
      <c r="X610"/>
    </row>
    <row r="611" spans="22:24" x14ac:dyDescent="0.25">
      <c r="V611"/>
      <c r="W611"/>
      <c r="X611"/>
    </row>
    <row r="612" spans="22:24" x14ac:dyDescent="0.25">
      <c r="V612"/>
      <c r="W612"/>
      <c r="X612"/>
    </row>
    <row r="613" spans="22:24" x14ac:dyDescent="0.25">
      <c r="V613"/>
      <c r="W613"/>
      <c r="X613"/>
    </row>
    <row r="614" spans="22:24" x14ac:dyDescent="0.25">
      <c r="V614"/>
      <c r="W614"/>
      <c r="X614"/>
    </row>
    <row r="615" spans="22:24" x14ac:dyDescent="0.25">
      <c r="V615"/>
      <c r="W615"/>
      <c r="X615"/>
    </row>
    <row r="616" spans="22:24" x14ac:dyDescent="0.25">
      <c r="V616"/>
      <c r="W616"/>
      <c r="X616"/>
    </row>
    <row r="617" spans="22:24" x14ac:dyDescent="0.25">
      <c r="V617"/>
      <c r="W617"/>
      <c r="X617"/>
    </row>
    <row r="618" spans="22:24" x14ac:dyDescent="0.25">
      <c r="V618"/>
      <c r="W618"/>
      <c r="X618"/>
    </row>
    <row r="619" spans="22:24" x14ac:dyDescent="0.25">
      <c r="V619"/>
      <c r="W619"/>
      <c r="X619"/>
    </row>
    <row r="620" spans="22:24" x14ac:dyDescent="0.25">
      <c r="V620"/>
      <c r="W620"/>
      <c r="X620"/>
    </row>
    <row r="621" spans="22:24" x14ac:dyDescent="0.25">
      <c r="V621"/>
      <c r="W621"/>
      <c r="X621"/>
    </row>
    <row r="622" spans="22:24" x14ac:dyDescent="0.25">
      <c r="V622"/>
      <c r="W622"/>
      <c r="X622"/>
    </row>
    <row r="623" spans="22:24" x14ac:dyDescent="0.25">
      <c r="V623"/>
      <c r="W623"/>
      <c r="X623"/>
    </row>
    <row r="624" spans="22:24" x14ac:dyDescent="0.25">
      <c r="V624"/>
      <c r="W624"/>
      <c r="X624"/>
    </row>
    <row r="625" spans="22:24" x14ac:dyDescent="0.25">
      <c r="V625"/>
      <c r="W625"/>
      <c r="X625"/>
    </row>
    <row r="626" spans="22:24" x14ac:dyDescent="0.25">
      <c r="V626"/>
      <c r="W626"/>
      <c r="X626"/>
    </row>
    <row r="627" spans="22:24" x14ac:dyDescent="0.25">
      <c r="V627"/>
      <c r="W627"/>
      <c r="X627"/>
    </row>
    <row r="628" spans="22:24" x14ac:dyDescent="0.25">
      <c r="V628"/>
      <c r="W628"/>
      <c r="X628"/>
    </row>
    <row r="629" spans="22:24" x14ac:dyDescent="0.25">
      <c r="V629"/>
      <c r="W629"/>
      <c r="X629"/>
    </row>
    <row r="630" spans="22:24" x14ac:dyDescent="0.25">
      <c r="V630"/>
      <c r="W630"/>
      <c r="X630"/>
    </row>
    <row r="631" spans="22:24" x14ac:dyDescent="0.25">
      <c r="V631"/>
      <c r="W631"/>
      <c r="X631"/>
    </row>
    <row r="632" spans="22:24" x14ac:dyDescent="0.25">
      <c r="V632"/>
      <c r="W632"/>
      <c r="X632"/>
    </row>
    <row r="633" spans="22:24" x14ac:dyDescent="0.25">
      <c r="V633"/>
      <c r="W633"/>
      <c r="X633"/>
    </row>
    <row r="634" spans="22:24" x14ac:dyDescent="0.25">
      <c r="V634"/>
      <c r="W634"/>
      <c r="X634"/>
    </row>
    <row r="635" spans="22:24" x14ac:dyDescent="0.25">
      <c r="V635"/>
      <c r="W635"/>
      <c r="X635"/>
    </row>
    <row r="636" spans="22:24" x14ac:dyDescent="0.25">
      <c r="V636"/>
      <c r="W636"/>
      <c r="X636"/>
    </row>
    <row r="637" spans="22:24" x14ac:dyDescent="0.25">
      <c r="V637"/>
      <c r="W637"/>
      <c r="X637"/>
    </row>
    <row r="638" spans="22:24" x14ac:dyDescent="0.25">
      <c r="V638"/>
      <c r="W638"/>
      <c r="X638"/>
    </row>
    <row r="639" spans="22:24" x14ac:dyDescent="0.25">
      <c r="V639"/>
      <c r="W639"/>
      <c r="X639"/>
    </row>
    <row r="640" spans="22:24" x14ac:dyDescent="0.25">
      <c r="V640"/>
      <c r="W640"/>
      <c r="X640"/>
    </row>
    <row r="641" spans="22:24" x14ac:dyDescent="0.25">
      <c r="V641"/>
      <c r="W641"/>
      <c r="X641"/>
    </row>
    <row r="642" spans="22:24" x14ac:dyDescent="0.25">
      <c r="V642"/>
      <c r="W642"/>
      <c r="X642"/>
    </row>
    <row r="643" spans="22:24" x14ac:dyDescent="0.25">
      <c r="V643"/>
      <c r="W643"/>
      <c r="X643"/>
    </row>
    <row r="644" spans="22:24" x14ac:dyDescent="0.25">
      <c r="V644"/>
      <c r="W644"/>
      <c r="X644"/>
    </row>
    <row r="645" spans="22:24" x14ac:dyDescent="0.25">
      <c r="V645"/>
      <c r="W645"/>
      <c r="X645"/>
    </row>
    <row r="646" spans="22:24" x14ac:dyDescent="0.25">
      <c r="V646"/>
      <c r="W646"/>
      <c r="X646"/>
    </row>
    <row r="647" spans="22:24" x14ac:dyDescent="0.25">
      <c r="V647"/>
      <c r="W647"/>
      <c r="X647"/>
    </row>
    <row r="648" spans="22:24" x14ac:dyDescent="0.25">
      <c r="V648"/>
      <c r="W648"/>
      <c r="X648"/>
    </row>
    <row r="649" spans="22:24" x14ac:dyDescent="0.25">
      <c r="V649"/>
      <c r="W649"/>
      <c r="X649"/>
    </row>
    <row r="650" spans="22:24" x14ac:dyDescent="0.25">
      <c r="V650"/>
      <c r="W650"/>
      <c r="X650"/>
    </row>
    <row r="651" spans="22:24" x14ac:dyDescent="0.25">
      <c r="V651"/>
      <c r="W651"/>
      <c r="X651"/>
    </row>
    <row r="652" spans="22:24" x14ac:dyDescent="0.25">
      <c r="V652"/>
      <c r="W652"/>
      <c r="X652"/>
    </row>
    <row r="653" spans="22:24" x14ac:dyDescent="0.25">
      <c r="V653"/>
      <c r="W653"/>
      <c r="X653"/>
    </row>
    <row r="654" spans="22:24" x14ac:dyDescent="0.25">
      <c r="V654"/>
      <c r="W654"/>
      <c r="X654"/>
    </row>
    <row r="655" spans="22:24" x14ac:dyDescent="0.25">
      <c r="V655"/>
      <c r="W655"/>
      <c r="X655"/>
    </row>
    <row r="656" spans="22:24" x14ac:dyDescent="0.25">
      <c r="V656"/>
      <c r="W656"/>
      <c r="X656"/>
    </row>
    <row r="657" spans="22:24" x14ac:dyDescent="0.25">
      <c r="V657"/>
      <c r="W657"/>
      <c r="X657"/>
    </row>
    <row r="658" spans="22:24" x14ac:dyDescent="0.25">
      <c r="V658"/>
      <c r="W658"/>
      <c r="X658"/>
    </row>
    <row r="659" spans="22:24" x14ac:dyDescent="0.25">
      <c r="V659"/>
      <c r="W659"/>
      <c r="X659"/>
    </row>
    <row r="660" spans="22:24" x14ac:dyDescent="0.25">
      <c r="V660"/>
      <c r="W660"/>
      <c r="X660"/>
    </row>
    <row r="661" spans="22:24" x14ac:dyDescent="0.25">
      <c r="V661"/>
      <c r="W661"/>
      <c r="X661"/>
    </row>
    <row r="662" spans="22:24" x14ac:dyDescent="0.25">
      <c r="V662"/>
      <c r="W662"/>
      <c r="X662"/>
    </row>
    <row r="663" spans="22:24" x14ac:dyDescent="0.25">
      <c r="V663"/>
      <c r="W663"/>
      <c r="X663"/>
    </row>
    <row r="664" spans="22:24" x14ac:dyDescent="0.25">
      <c r="V664"/>
      <c r="W664"/>
      <c r="X664"/>
    </row>
    <row r="665" spans="22:24" x14ac:dyDescent="0.25">
      <c r="V665"/>
      <c r="W665"/>
      <c r="X665"/>
    </row>
    <row r="666" spans="22:24" x14ac:dyDescent="0.25">
      <c r="V666"/>
      <c r="W666"/>
      <c r="X666"/>
    </row>
    <row r="667" spans="22:24" x14ac:dyDescent="0.25">
      <c r="V667"/>
      <c r="W667"/>
      <c r="X667"/>
    </row>
    <row r="668" spans="22:24" x14ac:dyDescent="0.25">
      <c r="V668"/>
      <c r="W668"/>
      <c r="X668"/>
    </row>
    <row r="669" spans="22:24" x14ac:dyDescent="0.25">
      <c r="V669"/>
      <c r="W669"/>
      <c r="X669"/>
    </row>
    <row r="670" spans="22:24" x14ac:dyDescent="0.25">
      <c r="V670"/>
      <c r="W670"/>
      <c r="X670"/>
    </row>
    <row r="671" spans="22:24" x14ac:dyDescent="0.25">
      <c r="V671"/>
      <c r="W671"/>
      <c r="X671"/>
    </row>
    <row r="672" spans="22:24" x14ac:dyDescent="0.25">
      <c r="V672"/>
      <c r="W672"/>
      <c r="X672"/>
    </row>
    <row r="673" spans="22:24" x14ac:dyDescent="0.25">
      <c r="V673"/>
      <c r="W673"/>
      <c r="X673"/>
    </row>
    <row r="674" spans="22:24" x14ac:dyDescent="0.25">
      <c r="V674"/>
      <c r="W674"/>
      <c r="X674"/>
    </row>
    <row r="675" spans="22:24" x14ac:dyDescent="0.25">
      <c r="V675"/>
      <c r="W675"/>
      <c r="X675"/>
    </row>
    <row r="676" spans="22:24" x14ac:dyDescent="0.25">
      <c r="V676"/>
      <c r="W676"/>
      <c r="X676"/>
    </row>
    <row r="677" spans="22:24" x14ac:dyDescent="0.25">
      <c r="V677"/>
      <c r="W677"/>
      <c r="X677"/>
    </row>
    <row r="678" spans="22:24" x14ac:dyDescent="0.25">
      <c r="V678"/>
      <c r="W678"/>
      <c r="X678"/>
    </row>
    <row r="679" spans="22:24" x14ac:dyDescent="0.25">
      <c r="V679"/>
      <c r="W679"/>
      <c r="X679"/>
    </row>
    <row r="680" spans="22:24" x14ac:dyDescent="0.25">
      <c r="V680"/>
      <c r="W680"/>
      <c r="X680"/>
    </row>
    <row r="681" spans="22:24" x14ac:dyDescent="0.25">
      <c r="V681"/>
      <c r="W681"/>
      <c r="X681"/>
    </row>
    <row r="682" spans="22:24" x14ac:dyDescent="0.25">
      <c r="V682"/>
      <c r="W682"/>
      <c r="X682"/>
    </row>
    <row r="683" spans="22:24" x14ac:dyDescent="0.25">
      <c r="V683"/>
      <c r="W683"/>
      <c r="X683"/>
    </row>
    <row r="684" spans="22:24" x14ac:dyDescent="0.25">
      <c r="V684"/>
      <c r="W684"/>
      <c r="X684"/>
    </row>
    <row r="685" spans="22:24" x14ac:dyDescent="0.25">
      <c r="V685"/>
      <c r="W685"/>
      <c r="X685"/>
    </row>
    <row r="686" spans="22:24" x14ac:dyDescent="0.25">
      <c r="V686"/>
      <c r="W686"/>
      <c r="X686"/>
    </row>
    <row r="687" spans="22:24" x14ac:dyDescent="0.25">
      <c r="V687"/>
      <c r="W687"/>
      <c r="X687"/>
    </row>
    <row r="688" spans="22:24" x14ac:dyDescent="0.25">
      <c r="V688"/>
      <c r="W688"/>
      <c r="X688"/>
    </row>
    <row r="689" spans="22:24" x14ac:dyDescent="0.25">
      <c r="V689"/>
      <c r="W689"/>
      <c r="X689"/>
    </row>
    <row r="690" spans="22:24" x14ac:dyDescent="0.25">
      <c r="V690"/>
      <c r="W690"/>
      <c r="X690"/>
    </row>
    <row r="691" spans="22:24" x14ac:dyDescent="0.25">
      <c r="V691"/>
      <c r="W691"/>
      <c r="X691"/>
    </row>
    <row r="692" spans="22:24" x14ac:dyDescent="0.25">
      <c r="V692"/>
      <c r="W692"/>
      <c r="X692"/>
    </row>
    <row r="693" spans="22:24" x14ac:dyDescent="0.25">
      <c r="V693"/>
      <c r="W693"/>
      <c r="X693"/>
    </row>
    <row r="694" spans="22:24" x14ac:dyDescent="0.25">
      <c r="V694"/>
      <c r="W694"/>
      <c r="X694"/>
    </row>
    <row r="695" spans="22:24" x14ac:dyDescent="0.25">
      <c r="V695"/>
      <c r="W695"/>
      <c r="X695"/>
    </row>
    <row r="696" spans="22:24" x14ac:dyDescent="0.25">
      <c r="V696"/>
      <c r="W696"/>
      <c r="X696"/>
    </row>
    <row r="697" spans="22:24" x14ac:dyDescent="0.25">
      <c r="V697"/>
      <c r="W697"/>
      <c r="X697"/>
    </row>
    <row r="698" spans="22:24" x14ac:dyDescent="0.25">
      <c r="V698"/>
      <c r="W698"/>
      <c r="X698"/>
    </row>
    <row r="699" spans="22:24" x14ac:dyDescent="0.25">
      <c r="V699"/>
      <c r="W699"/>
      <c r="X699"/>
    </row>
    <row r="700" spans="22:24" x14ac:dyDescent="0.25">
      <c r="V700"/>
      <c r="W700"/>
      <c r="X700"/>
    </row>
    <row r="701" spans="22:24" x14ac:dyDescent="0.25">
      <c r="V701"/>
      <c r="W701"/>
      <c r="X701"/>
    </row>
    <row r="702" spans="22:24" x14ac:dyDescent="0.25">
      <c r="V702"/>
      <c r="W702"/>
      <c r="X702"/>
    </row>
    <row r="703" spans="22:24" x14ac:dyDescent="0.25">
      <c r="V703"/>
      <c r="W703"/>
      <c r="X703"/>
    </row>
    <row r="704" spans="22:24" x14ac:dyDescent="0.25">
      <c r="V704"/>
      <c r="W704"/>
      <c r="X704"/>
    </row>
    <row r="705" spans="22:24" x14ac:dyDescent="0.25">
      <c r="V705"/>
      <c r="W705"/>
      <c r="X705"/>
    </row>
    <row r="706" spans="22:24" x14ac:dyDescent="0.25">
      <c r="V706"/>
      <c r="W706"/>
      <c r="X706"/>
    </row>
    <row r="707" spans="22:24" x14ac:dyDescent="0.25">
      <c r="V707"/>
      <c r="W707"/>
      <c r="X707"/>
    </row>
    <row r="708" spans="22:24" x14ac:dyDescent="0.25">
      <c r="V708"/>
      <c r="W708"/>
      <c r="X708"/>
    </row>
    <row r="709" spans="22:24" x14ac:dyDescent="0.25">
      <c r="V709"/>
      <c r="W709"/>
      <c r="X709"/>
    </row>
    <row r="710" spans="22:24" x14ac:dyDescent="0.25">
      <c r="V710"/>
      <c r="W710"/>
      <c r="X710"/>
    </row>
    <row r="711" spans="22:24" x14ac:dyDescent="0.25">
      <c r="V711"/>
      <c r="W711"/>
      <c r="X711"/>
    </row>
    <row r="712" spans="22:24" x14ac:dyDescent="0.25">
      <c r="V712"/>
      <c r="W712"/>
      <c r="X712"/>
    </row>
    <row r="713" spans="22:24" x14ac:dyDescent="0.25">
      <c r="V713"/>
      <c r="W713"/>
      <c r="X713"/>
    </row>
    <row r="714" spans="22:24" x14ac:dyDescent="0.25">
      <c r="V714"/>
      <c r="W714"/>
      <c r="X714"/>
    </row>
    <row r="715" spans="22:24" x14ac:dyDescent="0.25">
      <c r="V715"/>
      <c r="W715"/>
      <c r="X715"/>
    </row>
    <row r="716" spans="22:24" x14ac:dyDescent="0.25">
      <c r="V716"/>
      <c r="W716"/>
      <c r="X716"/>
    </row>
    <row r="717" spans="22:24" x14ac:dyDescent="0.25">
      <c r="V717"/>
      <c r="W717"/>
      <c r="X717"/>
    </row>
    <row r="718" spans="22:24" x14ac:dyDescent="0.25">
      <c r="V718"/>
      <c r="W718"/>
      <c r="X718"/>
    </row>
    <row r="719" spans="22:24" x14ac:dyDescent="0.25">
      <c r="V719"/>
      <c r="W719"/>
      <c r="X719"/>
    </row>
    <row r="720" spans="22:24" x14ac:dyDescent="0.25">
      <c r="V720"/>
      <c r="W720"/>
      <c r="X720"/>
    </row>
    <row r="721" spans="22:24" x14ac:dyDescent="0.25">
      <c r="V721"/>
      <c r="W721"/>
      <c r="X721"/>
    </row>
    <row r="722" spans="22:24" x14ac:dyDescent="0.25">
      <c r="V722"/>
      <c r="W722"/>
      <c r="X722"/>
    </row>
    <row r="723" spans="22:24" x14ac:dyDescent="0.25">
      <c r="V723"/>
      <c r="W723"/>
      <c r="X723"/>
    </row>
    <row r="724" spans="22:24" x14ac:dyDescent="0.25">
      <c r="V724"/>
      <c r="W724"/>
      <c r="X724"/>
    </row>
    <row r="725" spans="22:24" x14ac:dyDescent="0.25">
      <c r="V725"/>
      <c r="W725"/>
      <c r="X725"/>
    </row>
    <row r="726" spans="22:24" x14ac:dyDescent="0.25">
      <c r="V726"/>
      <c r="W726"/>
      <c r="X726"/>
    </row>
    <row r="727" spans="22:24" x14ac:dyDescent="0.25">
      <c r="V727"/>
      <c r="W727"/>
      <c r="X727"/>
    </row>
    <row r="728" spans="22:24" x14ac:dyDescent="0.25">
      <c r="V728"/>
      <c r="W728"/>
      <c r="X728"/>
    </row>
    <row r="729" spans="22:24" x14ac:dyDescent="0.25">
      <c r="V729"/>
      <c r="W729"/>
      <c r="X729"/>
    </row>
    <row r="730" spans="22:24" x14ac:dyDescent="0.25">
      <c r="V730"/>
      <c r="W730"/>
      <c r="X730"/>
    </row>
    <row r="731" spans="22:24" x14ac:dyDescent="0.25">
      <c r="V731"/>
      <c r="W731"/>
      <c r="X731"/>
    </row>
    <row r="732" spans="22:24" x14ac:dyDescent="0.25">
      <c r="V732"/>
      <c r="W732"/>
      <c r="X732"/>
    </row>
    <row r="733" spans="22:24" x14ac:dyDescent="0.25">
      <c r="V733"/>
      <c r="W733"/>
      <c r="X733"/>
    </row>
    <row r="734" spans="22:24" x14ac:dyDescent="0.25">
      <c r="V734"/>
      <c r="W734"/>
      <c r="X734"/>
    </row>
    <row r="735" spans="22:24" x14ac:dyDescent="0.25">
      <c r="V735"/>
      <c r="W735"/>
      <c r="X735"/>
    </row>
    <row r="736" spans="22:24" x14ac:dyDescent="0.25">
      <c r="V736"/>
      <c r="W736"/>
      <c r="X736"/>
    </row>
    <row r="737" spans="22:24" x14ac:dyDescent="0.25">
      <c r="V737"/>
      <c r="W737"/>
      <c r="X737"/>
    </row>
    <row r="738" spans="22:24" x14ac:dyDescent="0.25">
      <c r="V738"/>
      <c r="W738"/>
      <c r="X738"/>
    </row>
    <row r="739" spans="22:24" x14ac:dyDescent="0.25">
      <c r="V739"/>
      <c r="W739"/>
      <c r="X739"/>
    </row>
    <row r="740" spans="22:24" x14ac:dyDescent="0.25">
      <c r="V740"/>
      <c r="W740"/>
      <c r="X740"/>
    </row>
    <row r="741" spans="22:24" x14ac:dyDescent="0.25">
      <c r="V741"/>
      <c r="W741"/>
      <c r="X741"/>
    </row>
    <row r="742" spans="22:24" x14ac:dyDescent="0.25">
      <c r="V742"/>
      <c r="W742"/>
      <c r="X742"/>
    </row>
    <row r="743" spans="22:24" x14ac:dyDescent="0.25">
      <c r="V743"/>
      <c r="W743"/>
      <c r="X743"/>
    </row>
    <row r="744" spans="22:24" x14ac:dyDescent="0.25">
      <c r="V744"/>
      <c r="W744"/>
      <c r="X744"/>
    </row>
    <row r="745" spans="22:24" x14ac:dyDescent="0.25">
      <c r="V745"/>
      <c r="W745"/>
      <c r="X745"/>
    </row>
    <row r="746" spans="22:24" x14ac:dyDescent="0.25">
      <c r="V746"/>
      <c r="W746"/>
      <c r="X746"/>
    </row>
    <row r="747" spans="22:24" x14ac:dyDescent="0.25">
      <c r="V747"/>
      <c r="W747"/>
      <c r="X747"/>
    </row>
    <row r="748" spans="22:24" x14ac:dyDescent="0.25">
      <c r="V748"/>
      <c r="W748"/>
      <c r="X748"/>
    </row>
    <row r="749" spans="22:24" x14ac:dyDescent="0.25">
      <c r="V749"/>
      <c r="W749"/>
      <c r="X749"/>
    </row>
    <row r="750" spans="22:24" x14ac:dyDescent="0.25">
      <c r="V750"/>
      <c r="W750"/>
      <c r="X750"/>
    </row>
    <row r="751" spans="22:24" x14ac:dyDescent="0.25">
      <c r="V751"/>
      <c r="W751"/>
      <c r="X751"/>
    </row>
    <row r="752" spans="22:24" x14ac:dyDescent="0.25">
      <c r="V752"/>
      <c r="W752"/>
      <c r="X752"/>
    </row>
    <row r="753" spans="22:24" x14ac:dyDescent="0.25">
      <c r="V753"/>
      <c r="W753"/>
      <c r="X753"/>
    </row>
    <row r="754" spans="22:24" x14ac:dyDescent="0.25">
      <c r="V754"/>
      <c r="W754"/>
      <c r="X754"/>
    </row>
    <row r="755" spans="22:24" x14ac:dyDescent="0.25">
      <c r="V755"/>
      <c r="W755"/>
      <c r="X755"/>
    </row>
    <row r="756" spans="22:24" x14ac:dyDescent="0.25">
      <c r="V756"/>
      <c r="W756"/>
      <c r="X756"/>
    </row>
    <row r="757" spans="22:24" x14ac:dyDescent="0.25">
      <c r="V757"/>
      <c r="W757"/>
      <c r="X757"/>
    </row>
    <row r="758" spans="22:24" x14ac:dyDescent="0.25">
      <c r="V758"/>
      <c r="W758"/>
      <c r="X758"/>
    </row>
    <row r="759" spans="22:24" x14ac:dyDescent="0.25">
      <c r="V759"/>
      <c r="W759"/>
      <c r="X759"/>
    </row>
    <row r="760" spans="22:24" x14ac:dyDescent="0.25">
      <c r="V760"/>
      <c r="W760"/>
      <c r="X760"/>
    </row>
    <row r="761" spans="22:24" x14ac:dyDescent="0.25">
      <c r="V761"/>
      <c r="W761"/>
      <c r="X761"/>
    </row>
    <row r="762" spans="22:24" x14ac:dyDescent="0.25">
      <c r="V762"/>
      <c r="W762"/>
      <c r="X762"/>
    </row>
    <row r="763" spans="22:24" x14ac:dyDescent="0.25">
      <c r="V763"/>
      <c r="W763"/>
      <c r="X763"/>
    </row>
    <row r="764" spans="22:24" x14ac:dyDescent="0.25">
      <c r="V764"/>
      <c r="W764"/>
      <c r="X764"/>
    </row>
    <row r="765" spans="22:24" x14ac:dyDescent="0.25">
      <c r="V765"/>
      <c r="W765"/>
      <c r="X765"/>
    </row>
    <row r="766" spans="22:24" x14ac:dyDescent="0.25">
      <c r="V766"/>
      <c r="W766"/>
      <c r="X766"/>
    </row>
    <row r="767" spans="22:24" x14ac:dyDescent="0.25">
      <c r="V767"/>
      <c r="W767"/>
      <c r="X767"/>
    </row>
    <row r="768" spans="22:24" x14ac:dyDescent="0.25">
      <c r="V768"/>
      <c r="W768"/>
      <c r="X768"/>
    </row>
    <row r="769" spans="22:24" x14ac:dyDescent="0.25">
      <c r="V769"/>
      <c r="W769"/>
      <c r="X769"/>
    </row>
    <row r="770" spans="22:24" x14ac:dyDescent="0.25">
      <c r="V770"/>
      <c r="W770"/>
      <c r="X770"/>
    </row>
    <row r="771" spans="22:24" x14ac:dyDescent="0.25">
      <c r="V771"/>
      <c r="W771"/>
      <c r="X771"/>
    </row>
    <row r="772" spans="22:24" x14ac:dyDescent="0.25">
      <c r="V772"/>
      <c r="W772"/>
      <c r="X772"/>
    </row>
    <row r="773" spans="22:24" x14ac:dyDescent="0.25">
      <c r="V773"/>
      <c r="W773"/>
      <c r="X773"/>
    </row>
    <row r="774" spans="22:24" x14ac:dyDescent="0.25">
      <c r="V774"/>
      <c r="W774"/>
      <c r="X774"/>
    </row>
    <row r="775" spans="22:24" x14ac:dyDescent="0.25">
      <c r="V775"/>
      <c r="W775"/>
      <c r="X775"/>
    </row>
    <row r="776" spans="22:24" x14ac:dyDescent="0.25">
      <c r="V776"/>
      <c r="W776"/>
      <c r="X776"/>
    </row>
    <row r="777" spans="22:24" x14ac:dyDescent="0.25">
      <c r="V777"/>
      <c r="W777"/>
      <c r="X777"/>
    </row>
    <row r="778" spans="22:24" x14ac:dyDescent="0.25">
      <c r="V778"/>
      <c r="W778"/>
      <c r="X778"/>
    </row>
    <row r="779" spans="22:24" x14ac:dyDescent="0.25">
      <c r="V779"/>
      <c r="W779"/>
      <c r="X779"/>
    </row>
    <row r="780" spans="22:24" x14ac:dyDescent="0.25">
      <c r="V780"/>
      <c r="W780"/>
      <c r="X780"/>
    </row>
    <row r="781" spans="22:24" x14ac:dyDescent="0.25">
      <c r="V781"/>
      <c r="W781"/>
      <c r="X781"/>
    </row>
    <row r="782" spans="22:24" x14ac:dyDescent="0.25">
      <c r="V782"/>
      <c r="W782"/>
      <c r="X782"/>
    </row>
    <row r="783" spans="22:24" x14ac:dyDescent="0.25">
      <c r="V783"/>
      <c r="W783"/>
      <c r="X783"/>
    </row>
    <row r="784" spans="22:24" x14ac:dyDescent="0.25">
      <c r="V784"/>
      <c r="W784"/>
      <c r="X784"/>
    </row>
    <row r="785" spans="22:24" x14ac:dyDescent="0.25">
      <c r="V785"/>
      <c r="W785"/>
      <c r="X785"/>
    </row>
    <row r="786" spans="22:24" x14ac:dyDescent="0.25">
      <c r="V786"/>
      <c r="W786"/>
      <c r="X786"/>
    </row>
    <row r="787" spans="22:24" x14ac:dyDescent="0.25">
      <c r="V787"/>
      <c r="W787"/>
      <c r="X787"/>
    </row>
    <row r="788" spans="22:24" x14ac:dyDescent="0.25">
      <c r="V788"/>
      <c r="W788"/>
      <c r="X788"/>
    </row>
    <row r="789" spans="22:24" x14ac:dyDescent="0.25">
      <c r="V789"/>
      <c r="W789"/>
      <c r="X789"/>
    </row>
    <row r="790" spans="22:24" x14ac:dyDescent="0.25">
      <c r="V790"/>
      <c r="W790"/>
      <c r="X790"/>
    </row>
    <row r="791" spans="22:24" x14ac:dyDescent="0.25">
      <c r="V791"/>
      <c r="W791"/>
      <c r="X791"/>
    </row>
    <row r="792" spans="22:24" x14ac:dyDescent="0.25">
      <c r="V792"/>
      <c r="W792"/>
      <c r="X792"/>
    </row>
    <row r="793" spans="22:24" x14ac:dyDescent="0.25">
      <c r="V793"/>
      <c r="W793"/>
      <c r="X793"/>
    </row>
    <row r="794" spans="22:24" x14ac:dyDescent="0.25">
      <c r="V794"/>
      <c r="W794"/>
      <c r="X794"/>
    </row>
    <row r="795" spans="22:24" x14ac:dyDescent="0.25">
      <c r="V795"/>
      <c r="W795"/>
      <c r="X795"/>
    </row>
    <row r="796" spans="22:24" x14ac:dyDescent="0.25">
      <c r="V796"/>
      <c r="W796"/>
      <c r="X796"/>
    </row>
    <row r="797" spans="22:24" x14ac:dyDescent="0.25">
      <c r="V797"/>
      <c r="W797"/>
      <c r="X797"/>
    </row>
    <row r="798" spans="22:24" x14ac:dyDescent="0.25">
      <c r="V798"/>
      <c r="W798"/>
      <c r="X798"/>
    </row>
    <row r="799" spans="22:24" x14ac:dyDescent="0.25">
      <c r="V799"/>
      <c r="W799"/>
      <c r="X799"/>
    </row>
    <row r="800" spans="22:24" x14ac:dyDescent="0.25">
      <c r="V800"/>
      <c r="W800"/>
      <c r="X800"/>
    </row>
    <row r="801" spans="22:24" x14ac:dyDescent="0.25">
      <c r="V801"/>
      <c r="W801"/>
      <c r="X801"/>
    </row>
    <row r="802" spans="22:24" x14ac:dyDescent="0.25">
      <c r="V802"/>
      <c r="W802"/>
      <c r="X802"/>
    </row>
    <row r="803" spans="22:24" x14ac:dyDescent="0.25">
      <c r="V803"/>
      <c r="W803"/>
      <c r="X803"/>
    </row>
    <row r="804" spans="22:24" x14ac:dyDescent="0.25">
      <c r="V804"/>
      <c r="W804"/>
      <c r="X804"/>
    </row>
    <row r="805" spans="22:24" x14ac:dyDescent="0.25">
      <c r="V805"/>
      <c r="W805"/>
      <c r="X805"/>
    </row>
    <row r="806" spans="22:24" x14ac:dyDescent="0.25">
      <c r="V806"/>
      <c r="W806"/>
      <c r="X806"/>
    </row>
    <row r="807" spans="22:24" x14ac:dyDescent="0.25">
      <c r="V807"/>
      <c r="W807"/>
      <c r="X807"/>
    </row>
    <row r="808" spans="22:24" x14ac:dyDescent="0.25">
      <c r="V808"/>
      <c r="W808"/>
      <c r="X808"/>
    </row>
    <row r="809" spans="22:24" x14ac:dyDescent="0.25">
      <c r="V809"/>
      <c r="W809"/>
      <c r="X809"/>
    </row>
    <row r="810" spans="22:24" x14ac:dyDescent="0.25">
      <c r="V810"/>
      <c r="W810"/>
      <c r="X810"/>
    </row>
    <row r="811" spans="22:24" x14ac:dyDescent="0.25">
      <c r="V811"/>
      <c r="W811"/>
      <c r="X811"/>
    </row>
    <row r="812" spans="22:24" x14ac:dyDescent="0.25">
      <c r="V812"/>
      <c r="W812"/>
      <c r="X812"/>
    </row>
    <row r="813" spans="22:24" x14ac:dyDescent="0.25">
      <c r="V813"/>
      <c r="W813"/>
      <c r="X813"/>
    </row>
    <row r="814" spans="22:24" x14ac:dyDescent="0.25">
      <c r="V814"/>
      <c r="W814"/>
      <c r="X814"/>
    </row>
    <row r="815" spans="22:24" x14ac:dyDescent="0.25">
      <c r="V815"/>
      <c r="W815"/>
      <c r="X815"/>
    </row>
    <row r="816" spans="22:24" x14ac:dyDescent="0.25">
      <c r="V816"/>
      <c r="W816"/>
      <c r="X816"/>
    </row>
    <row r="817" spans="22:24" x14ac:dyDescent="0.25">
      <c r="V817"/>
      <c r="W817"/>
      <c r="X817"/>
    </row>
    <row r="818" spans="22:24" x14ac:dyDescent="0.25">
      <c r="V818"/>
      <c r="W818"/>
      <c r="X818"/>
    </row>
    <row r="819" spans="22:24" x14ac:dyDescent="0.25">
      <c r="V819"/>
      <c r="W819"/>
      <c r="X819"/>
    </row>
    <row r="820" spans="22:24" x14ac:dyDescent="0.25">
      <c r="V820"/>
      <c r="W820"/>
      <c r="X820"/>
    </row>
    <row r="821" spans="22:24" x14ac:dyDescent="0.25">
      <c r="V821"/>
      <c r="W821"/>
      <c r="X821"/>
    </row>
    <row r="822" spans="22:24" x14ac:dyDescent="0.25">
      <c r="V822"/>
      <c r="W822"/>
      <c r="X822"/>
    </row>
    <row r="823" spans="22:24" x14ac:dyDescent="0.25">
      <c r="V823"/>
      <c r="W823"/>
      <c r="X823"/>
    </row>
    <row r="824" spans="22:24" x14ac:dyDescent="0.25">
      <c r="V824"/>
      <c r="W824"/>
      <c r="X824"/>
    </row>
    <row r="825" spans="22:24" x14ac:dyDescent="0.25">
      <c r="V825"/>
      <c r="W825"/>
      <c r="X825"/>
    </row>
    <row r="826" spans="22:24" x14ac:dyDescent="0.25">
      <c r="V826"/>
      <c r="W826"/>
      <c r="X826"/>
    </row>
    <row r="827" spans="22:24" x14ac:dyDescent="0.25">
      <c r="V827"/>
      <c r="W827"/>
      <c r="X827"/>
    </row>
    <row r="828" spans="22:24" x14ac:dyDescent="0.25">
      <c r="V828"/>
      <c r="W828"/>
      <c r="X828"/>
    </row>
    <row r="829" spans="22:24" x14ac:dyDescent="0.25">
      <c r="V829"/>
      <c r="W829"/>
      <c r="X829"/>
    </row>
    <row r="830" spans="22:24" x14ac:dyDescent="0.25">
      <c r="V830"/>
      <c r="W830"/>
      <c r="X830"/>
    </row>
    <row r="831" spans="22:24" x14ac:dyDescent="0.25">
      <c r="V831"/>
      <c r="W831"/>
      <c r="X831"/>
    </row>
    <row r="832" spans="22:24" x14ac:dyDescent="0.25">
      <c r="V832"/>
      <c r="W832"/>
      <c r="X832"/>
    </row>
    <row r="833" spans="22:24" x14ac:dyDescent="0.25">
      <c r="V833"/>
      <c r="W833"/>
      <c r="X833"/>
    </row>
    <row r="834" spans="22:24" x14ac:dyDescent="0.25">
      <c r="V834"/>
      <c r="W834"/>
      <c r="X834"/>
    </row>
    <row r="835" spans="22:24" x14ac:dyDescent="0.25">
      <c r="V835"/>
      <c r="W835"/>
      <c r="X835"/>
    </row>
    <row r="836" spans="22:24" x14ac:dyDescent="0.25">
      <c r="V836"/>
      <c r="W836"/>
      <c r="X836"/>
    </row>
    <row r="837" spans="22:24" x14ac:dyDescent="0.25">
      <c r="V837"/>
      <c r="W837"/>
      <c r="X837"/>
    </row>
    <row r="838" spans="22:24" x14ac:dyDescent="0.25">
      <c r="V838"/>
      <c r="W838"/>
      <c r="X838"/>
    </row>
    <row r="839" spans="22:24" x14ac:dyDescent="0.25">
      <c r="V839"/>
      <c r="W839"/>
      <c r="X839"/>
    </row>
    <row r="840" spans="22:24" x14ac:dyDescent="0.25">
      <c r="V840"/>
      <c r="W840"/>
      <c r="X840"/>
    </row>
    <row r="841" spans="22:24" x14ac:dyDescent="0.25">
      <c r="V841"/>
      <c r="W841"/>
      <c r="X841"/>
    </row>
    <row r="842" spans="22:24" x14ac:dyDescent="0.25">
      <c r="V842"/>
      <c r="W842"/>
      <c r="X842"/>
    </row>
    <row r="843" spans="22:24" x14ac:dyDescent="0.25">
      <c r="V843"/>
      <c r="W843"/>
      <c r="X843"/>
    </row>
    <row r="844" spans="22:24" x14ac:dyDescent="0.25">
      <c r="V844"/>
      <c r="W844"/>
      <c r="X844"/>
    </row>
    <row r="845" spans="22:24" x14ac:dyDescent="0.25">
      <c r="V845"/>
      <c r="W845"/>
      <c r="X845"/>
    </row>
    <row r="846" spans="22:24" x14ac:dyDescent="0.25">
      <c r="V846"/>
      <c r="W846"/>
      <c r="X846"/>
    </row>
    <row r="847" spans="22:24" x14ac:dyDescent="0.25">
      <c r="V847"/>
      <c r="W847"/>
      <c r="X847"/>
    </row>
    <row r="848" spans="22:24" x14ac:dyDescent="0.25">
      <c r="V848"/>
      <c r="W848"/>
      <c r="X848"/>
    </row>
    <row r="849" spans="22:24" x14ac:dyDescent="0.25">
      <c r="V849"/>
      <c r="W849"/>
      <c r="X849"/>
    </row>
    <row r="850" spans="22:24" x14ac:dyDescent="0.25">
      <c r="V850"/>
      <c r="W850"/>
      <c r="X850"/>
    </row>
    <row r="851" spans="22:24" x14ac:dyDescent="0.25">
      <c r="V851"/>
      <c r="W851"/>
      <c r="X851"/>
    </row>
    <row r="852" spans="22:24" x14ac:dyDescent="0.25">
      <c r="V852"/>
      <c r="W852"/>
      <c r="X852"/>
    </row>
    <row r="853" spans="22:24" x14ac:dyDescent="0.25">
      <c r="V853"/>
      <c r="W853"/>
      <c r="X853"/>
    </row>
    <row r="854" spans="22:24" x14ac:dyDescent="0.25">
      <c r="V854"/>
      <c r="W854"/>
      <c r="X854"/>
    </row>
    <row r="855" spans="22:24" x14ac:dyDescent="0.25">
      <c r="V855"/>
      <c r="W855"/>
      <c r="X855"/>
    </row>
    <row r="856" spans="22:24" x14ac:dyDescent="0.25">
      <c r="V856"/>
      <c r="W856"/>
      <c r="X856"/>
    </row>
    <row r="857" spans="22:24" x14ac:dyDescent="0.25">
      <c r="V857"/>
      <c r="W857"/>
      <c r="X857"/>
    </row>
    <row r="858" spans="22:24" x14ac:dyDescent="0.25">
      <c r="V858"/>
      <c r="W858"/>
      <c r="X858"/>
    </row>
    <row r="859" spans="22:24" x14ac:dyDescent="0.25">
      <c r="V859"/>
      <c r="W859"/>
      <c r="X859"/>
    </row>
    <row r="860" spans="22:24" x14ac:dyDescent="0.25">
      <c r="V860"/>
      <c r="W860"/>
      <c r="X860"/>
    </row>
    <row r="861" spans="22:24" x14ac:dyDescent="0.25">
      <c r="V861"/>
      <c r="W861"/>
      <c r="X861"/>
    </row>
    <row r="862" spans="22:24" x14ac:dyDescent="0.25">
      <c r="V862"/>
      <c r="W862"/>
      <c r="X862"/>
    </row>
    <row r="863" spans="22:24" x14ac:dyDescent="0.25">
      <c r="V863"/>
      <c r="W863"/>
      <c r="X863"/>
    </row>
    <row r="864" spans="22:24" x14ac:dyDescent="0.25">
      <c r="V864"/>
      <c r="W864"/>
      <c r="X864"/>
    </row>
    <row r="865" spans="22:24" x14ac:dyDescent="0.25">
      <c r="V865"/>
      <c r="W865"/>
      <c r="X865"/>
    </row>
    <row r="866" spans="22:24" x14ac:dyDescent="0.25">
      <c r="V866"/>
      <c r="W866"/>
      <c r="X866"/>
    </row>
    <row r="867" spans="22:24" x14ac:dyDescent="0.25">
      <c r="V867"/>
      <c r="W867"/>
      <c r="X867"/>
    </row>
    <row r="868" spans="22:24" x14ac:dyDescent="0.25">
      <c r="V868"/>
      <c r="W868"/>
      <c r="X868"/>
    </row>
    <row r="869" spans="22:24" x14ac:dyDescent="0.25">
      <c r="V869"/>
      <c r="W869"/>
      <c r="X869"/>
    </row>
    <row r="870" spans="22:24" x14ac:dyDescent="0.25">
      <c r="V870"/>
      <c r="W870"/>
      <c r="X870"/>
    </row>
    <row r="871" spans="22:24" x14ac:dyDescent="0.25">
      <c r="V871"/>
      <c r="W871"/>
      <c r="X871"/>
    </row>
    <row r="872" spans="22:24" x14ac:dyDescent="0.25">
      <c r="V872"/>
      <c r="W872"/>
      <c r="X872"/>
    </row>
    <row r="873" spans="22:24" x14ac:dyDescent="0.25">
      <c r="V873"/>
      <c r="W873"/>
      <c r="X873"/>
    </row>
    <row r="874" spans="22:24" x14ac:dyDescent="0.25">
      <c r="V874"/>
      <c r="W874"/>
      <c r="X874"/>
    </row>
    <row r="875" spans="22:24" x14ac:dyDescent="0.25">
      <c r="V875"/>
      <c r="W875"/>
      <c r="X875"/>
    </row>
    <row r="876" spans="22:24" x14ac:dyDescent="0.25">
      <c r="V876"/>
      <c r="W876"/>
      <c r="X876"/>
    </row>
    <row r="877" spans="22:24" x14ac:dyDescent="0.25">
      <c r="V877"/>
      <c r="W877"/>
      <c r="X877"/>
    </row>
    <row r="878" spans="22:24" x14ac:dyDescent="0.25">
      <c r="V878"/>
      <c r="W878"/>
      <c r="X878"/>
    </row>
    <row r="879" spans="22:24" x14ac:dyDescent="0.25">
      <c r="V879"/>
      <c r="W879"/>
      <c r="X879"/>
    </row>
    <row r="880" spans="22:24" x14ac:dyDescent="0.25">
      <c r="V880"/>
      <c r="W880"/>
      <c r="X880"/>
    </row>
    <row r="881" spans="22:24" x14ac:dyDescent="0.25">
      <c r="V881"/>
      <c r="W881"/>
      <c r="X881"/>
    </row>
    <row r="882" spans="22:24" x14ac:dyDescent="0.25">
      <c r="V882"/>
      <c r="W882"/>
      <c r="X882"/>
    </row>
    <row r="883" spans="22:24" x14ac:dyDescent="0.25">
      <c r="V883"/>
      <c r="W883"/>
      <c r="X883"/>
    </row>
    <row r="884" spans="22:24" x14ac:dyDescent="0.25">
      <c r="V884"/>
      <c r="W884"/>
      <c r="X884"/>
    </row>
    <row r="885" spans="22:24" x14ac:dyDescent="0.25">
      <c r="V885"/>
      <c r="W885"/>
      <c r="X885"/>
    </row>
    <row r="886" spans="22:24" x14ac:dyDescent="0.25">
      <c r="V886"/>
      <c r="W886"/>
      <c r="X886"/>
    </row>
    <row r="887" spans="22:24" x14ac:dyDescent="0.25">
      <c r="V887"/>
      <c r="W887"/>
      <c r="X887"/>
    </row>
    <row r="888" spans="22:24" x14ac:dyDescent="0.25">
      <c r="V888"/>
      <c r="W888"/>
      <c r="X888"/>
    </row>
    <row r="889" spans="22:24" x14ac:dyDescent="0.25">
      <c r="V889"/>
      <c r="W889"/>
      <c r="X889"/>
    </row>
    <row r="890" spans="22:24" x14ac:dyDescent="0.25">
      <c r="V890"/>
      <c r="W890"/>
      <c r="X890"/>
    </row>
    <row r="891" spans="22:24" x14ac:dyDescent="0.25">
      <c r="V891"/>
      <c r="W891"/>
      <c r="X891"/>
    </row>
    <row r="892" spans="22:24" x14ac:dyDescent="0.25">
      <c r="V892"/>
      <c r="W892"/>
      <c r="X892"/>
    </row>
    <row r="893" spans="22:24" x14ac:dyDescent="0.25">
      <c r="V893"/>
      <c r="W893"/>
      <c r="X893"/>
    </row>
    <row r="894" spans="22:24" x14ac:dyDescent="0.25">
      <c r="V894"/>
      <c r="W894"/>
      <c r="X894"/>
    </row>
    <row r="895" spans="22:24" x14ac:dyDescent="0.25">
      <c r="V895"/>
      <c r="W895"/>
      <c r="X895"/>
    </row>
    <row r="896" spans="22:24" x14ac:dyDescent="0.25">
      <c r="V896"/>
      <c r="W896"/>
      <c r="X896"/>
    </row>
    <row r="897" spans="22:24" x14ac:dyDescent="0.25">
      <c r="V897"/>
      <c r="W897"/>
      <c r="X897"/>
    </row>
    <row r="898" spans="22:24" x14ac:dyDescent="0.25">
      <c r="V898"/>
      <c r="W898"/>
      <c r="X898"/>
    </row>
    <row r="899" spans="22:24" x14ac:dyDescent="0.25">
      <c r="V899"/>
      <c r="W899"/>
      <c r="X899"/>
    </row>
    <row r="900" spans="22:24" x14ac:dyDescent="0.25">
      <c r="V900"/>
      <c r="W900"/>
      <c r="X900"/>
    </row>
    <row r="901" spans="22:24" x14ac:dyDescent="0.25">
      <c r="V901"/>
      <c r="W901"/>
      <c r="X901"/>
    </row>
    <row r="902" spans="22:24" x14ac:dyDescent="0.25">
      <c r="V902"/>
      <c r="W902"/>
      <c r="X902"/>
    </row>
    <row r="903" spans="22:24" x14ac:dyDescent="0.25">
      <c r="V903"/>
      <c r="W903"/>
      <c r="X903"/>
    </row>
    <row r="904" spans="22:24" x14ac:dyDescent="0.25">
      <c r="V904"/>
      <c r="W904"/>
      <c r="X904"/>
    </row>
    <row r="905" spans="22:24" x14ac:dyDescent="0.25">
      <c r="V905"/>
      <c r="W905"/>
      <c r="X905"/>
    </row>
    <row r="906" spans="22:24" x14ac:dyDescent="0.25">
      <c r="V906"/>
      <c r="W906"/>
      <c r="X906"/>
    </row>
    <row r="907" spans="22:24" x14ac:dyDescent="0.25">
      <c r="V907"/>
      <c r="W907"/>
      <c r="X907"/>
    </row>
    <row r="908" spans="22:24" x14ac:dyDescent="0.25">
      <c r="V908"/>
      <c r="W908"/>
      <c r="X908"/>
    </row>
    <row r="909" spans="22:24" x14ac:dyDescent="0.25">
      <c r="V909"/>
      <c r="W909"/>
      <c r="X909"/>
    </row>
    <row r="910" spans="22:24" x14ac:dyDescent="0.25">
      <c r="V910"/>
      <c r="W910"/>
      <c r="X910"/>
    </row>
    <row r="911" spans="22:24" x14ac:dyDescent="0.25">
      <c r="V911"/>
      <c r="W911"/>
      <c r="X911"/>
    </row>
    <row r="912" spans="22:24" x14ac:dyDescent="0.25">
      <c r="V912"/>
      <c r="W912"/>
      <c r="X912"/>
    </row>
    <row r="913" spans="22:24" x14ac:dyDescent="0.25">
      <c r="V913"/>
      <c r="W913"/>
      <c r="X913"/>
    </row>
    <row r="914" spans="22:24" x14ac:dyDescent="0.25">
      <c r="V914"/>
      <c r="W914"/>
      <c r="X914"/>
    </row>
    <row r="915" spans="22:24" x14ac:dyDescent="0.25">
      <c r="V915"/>
      <c r="W915"/>
      <c r="X915"/>
    </row>
    <row r="916" spans="22:24" x14ac:dyDescent="0.25">
      <c r="V916"/>
      <c r="W916"/>
      <c r="X916"/>
    </row>
    <row r="917" spans="22:24" x14ac:dyDescent="0.25">
      <c r="V917"/>
      <c r="W917"/>
      <c r="X917"/>
    </row>
    <row r="918" spans="22:24" x14ac:dyDescent="0.25">
      <c r="V918"/>
      <c r="W918"/>
      <c r="X918"/>
    </row>
    <row r="919" spans="22:24" x14ac:dyDescent="0.25">
      <c r="V919"/>
      <c r="W919"/>
      <c r="X919"/>
    </row>
    <row r="920" spans="22:24" x14ac:dyDescent="0.25">
      <c r="V920"/>
      <c r="W920"/>
      <c r="X920"/>
    </row>
    <row r="921" spans="22:24" x14ac:dyDescent="0.25">
      <c r="V921"/>
      <c r="W921"/>
      <c r="X921"/>
    </row>
    <row r="922" spans="22:24" x14ac:dyDescent="0.25">
      <c r="V922"/>
      <c r="W922"/>
      <c r="X922"/>
    </row>
    <row r="923" spans="22:24" x14ac:dyDescent="0.25">
      <c r="V923"/>
      <c r="W923"/>
      <c r="X923"/>
    </row>
    <row r="924" spans="22:24" x14ac:dyDescent="0.25">
      <c r="V924"/>
      <c r="W924"/>
      <c r="X924"/>
    </row>
    <row r="925" spans="22:24" x14ac:dyDescent="0.25">
      <c r="V925"/>
      <c r="W925"/>
      <c r="X925"/>
    </row>
    <row r="926" spans="22:24" x14ac:dyDescent="0.25">
      <c r="V926"/>
      <c r="W926"/>
      <c r="X926"/>
    </row>
    <row r="927" spans="22:24" x14ac:dyDescent="0.25">
      <c r="V927"/>
      <c r="W927"/>
      <c r="X927"/>
    </row>
    <row r="928" spans="22:24" x14ac:dyDescent="0.25">
      <c r="V928"/>
      <c r="W928"/>
      <c r="X928"/>
    </row>
    <row r="929" spans="22:24" x14ac:dyDescent="0.25">
      <c r="V929"/>
      <c r="W929"/>
      <c r="X929"/>
    </row>
    <row r="930" spans="22:24" x14ac:dyDescent="0.25">
      <c r="V930"/>
      <c r="W930"/>
      <c r="X930"/>
    </row>
    <row r="931" spans="22:24" x14ac:dyDescent="0.25">
      <c r="V931"/>
      <c r="W931"/>
      <c r="X931"/>
    </row>
    <row r="932" spans="22:24" x14ac:dyDescent="0.25">
      <c r="V932"/>
      <c r="W932"/>
      <c r="X932"/>
    </row>
    <row r="933" spans="22:24" x14ac:dyDescent="0.25">
      <c r="V933"/>
      <c r="W933"/>
      <c r="X933"/>
    </row>
    <row r="934" spans="22:24" x14ac:dyDescent="0.25">
      <c r="V934"/>
      <c r="W934"/>
      <c r="X934"/>
    </row>
    <row r="935" spans="22:24" x14ac:dyDescent="0.25">
      <c r="V935"/>
      <c r="W935"/>
      <c r="X935"/>
    </row>
    <row r="936" spans="22:24" x14ac:dyDescent="0.25">
      <c r="V936"/>
      <c r="W936"/>
      <c r="X936"/>
    </row>
    <row r="937" spans="22:24" x14ac:dyDescent="0.25">
      <c r="V937"/>
      <c r="W937"/>
      <c r="X937"/>
    </row>
    <row r="938" spans="22:24" x14ac:dyDescent="0.25">
      <c r="V938"/>
      <c r="W938"/>
      <c r="X938"/>
    </row>
    <row r="939" spans="22:24" x14ac:dyDescent="0.25">
      <c r="V939"/>
      <c r="W939"/>
      <c r="X939"/>
    </row>
    <row r="940" spans="22:24" x14ac:dyDescent="0.25">
      <c r="V940"/>
      <c r="W940"/>
      <c r="X940"/>
    </row>
    <row r="941" spans="22:24" x14ac:dyDescent="0.25">
      <c r="V941"/>
      <c r="W941"/>
      <c r="X941"/>
    </row>
    <row r="942" spans="22:24" x14ac:dyDescent="0.25">
      <c r="V942"/>
      <c r="W942"/>
      <c r="X942"/>
    </row>
    <row r="943" spans="22:24" x14ac:dyDescent="0.25">
      <c r="V943"/>
      <c r="W943"/>
      <c r="X943"/>
    </row>
    <row r="944" spans="22:24" x14ac:dyDescent="0.25">
      <c r="V944"/>
      <c r="W944"/>
      <c r="X944"/>
    </row>
    <row r="945" spans="22:24" x14ac:dyDescent="0.25">
      <c r="V945"/>
      <c r="W945"/>
      <c r="X945"/>
    </row>
    <row r="946" spans="22:24" x14ac:dyDescent="0.25">
      <c r="V946"/>
      <c r="W946"/>
      <c r="X946"/>
    </row>
    <row r="947" spans="22:24" x14ac:dyDescent="0.25">
      <c r="V947"/>
      <c r="W947"/>
      <c r="X947"/>
    </row>
    <row r="948" spans="22:24" x14ac:dyDescent="0.25">
      <c r="V948"/>
      <c r="W948"/>
      <c r="X948"/>
    </row>
    <row r="949" spans="22:24" x14ac:dyDescent="0.25">
      <c r="V949"/>
      <c r="W949"/>
      <c r="X949"/>
    </row>
    <row r="950" spans="22:24" x14ac:dyDescent="0.25">
      <c r="V950"/>
      <c r="W950"/>
      <c r="X950"/>
    </row>
    <row r="951" spans="22:24" x14ac:dyDescent="0.25">
      <c r="V951"/>
      <c r="W951"/>
      <c r="X951"/>
    </row>
    <row r="952" spans="22:24" x14ac:dyDescent="0.25">
      <c r="V952"/>
      <c r="W952"/>
      <c r="X952"/>
    </row>
    <row r="953" spans="22:24" x14ac:dyDescent="0.25">
      <c r="V953"/>
      <c r="W953"/>
      <c r="X953"/>
    </row>
    <row r="954" spans="22:24" x14ac:dyDescent="0.25">
      <c r="V954"/>
      <c r="W954"/>
      <c r="X954"/>
    </row>
    <row r="955" spans="22:24" x14ac:dyDescent="0.25">
      <c r="V955"/>
      <c r="W955"/>
      <c r="X955"/>
    </row>
    <row r="956" spans="22:24" x14ac:dyDescent="0.25">
      <c r="V956"/>
      <c r="W956"/>
      <c r="X956"/>
    </row>
    <row r="957" spans="22:24" x14ac:dyDescent="0.25">
      <c r="V957"/>
      <c r="W957"/>
      <c r="X957"/>
    </row>
    <row r="958" spans="22:24" x14ac:dyDescent="0.25">
      <c r="V958"/>
      <c r="W958"/>
      <c r="X958"/>
    </row>
    <row r="959" spans="22:24" x14ac:dyDescent="0.25">
      <c r="V959"/>
      <c r="W959"/>
      <c r="X959"/>
    </row>
    <row r="960" spans="22:24" x14ac:dyDescent="0.25">
      <c r="V960"/>
      <c r="W960"/>
      <c r="X960"/>
    </row>
    <row r="961" spans="22:24" x14ac:dyDescent="0.25">
      <c r="V961"/>
      <c r="W961"/>
      <c r="X961"/>
    </row>
    <row r="962" spans="22:24" x14ac:dyDescent="0.25">
      <c r="V962"/>
      <c r="W962"/>
      <c r="X962"/>
    </row>
    <row r="963" spans="22:24" x14ac:dyDescent="0.25">
      <c r="V963"/>
      <c r="W963"/>
      <c r="X963"/>
    </row>
    <row r="964" spans="22:24" x14ac:dyDescent="0.25">
      <c r="V964"/>
      <c r="W964"/>
      <c r="X964"/>
    </row>
    <row r="965" spans="22:24" x14ac:dyDescent="0.25">
      <c r="V965"/>
      <c r="W965"/>
      <c r="X965"/>
    </row>
    <row r="966" spans="22:24" x14ac:dyDescent="0.25">
      <c r="V966"/>
      <c r="W966"/>
      <c r="X966"/>
    </row>
    <row r="967" spans="22:24" x14ac:dyDescent="0.25">
      <c r="V967"/>
      <c r="W967"/>
      <c r="X967"/>
    </row>
    <row r="968" spans="22:24" x14ac:dyDescent="0.25">
      <c r="V968"/>
      <c r="W968"/>
      <c r="X968"/>
    </row>
    <row r="969" spans="22:24" x14ac:dyDescent="0.25">
      <c r="V969"/>
      <c r="W969"/>
      <c r="X969"/>
    </row>
    <row r="970" spans="22:24" x14ac:dyDescent="0.25">
      <c r="V970"/>
      <c r="W970"/>
      <c r="X970"/>
    </row>
    <row r="971" spans="22:24" x14ac:dyDescent="0.25">
      <c r="V971"/>
      <c r="W971"/>
      <c r="X971"/>
    </row>
    <row r="972" spans="22:24" x14ac:dyDescent="0.25">
      <c r="V972"/>
      <c r="W972"/>
      <c r="X972"/>
    </row>
    <row r="973" spans="22:24" x14ac:dyDescent="0.25">
      <c r="V973"/>
      <c r="W973"/>
      <c r="X973"/>
    </row>
    <row r="974" spans="22:24" x14ac:dyDescent="0.25">
      <c r="V974"/>
      <c r="W974"/>
      <c r="X974"/>
    </row>
    <row r="975" spans="22:24" x14ac:dyDescent="0.25">
      <c r="V975"/>
      <c r="W975"/>
      <c r="X975"/>
    </row>
    <row r="976" spans="22:24" x14ac:dyDescent="0.25">
      <c r="V976"/>
      <c r="W976"/>
      <c r="X976"/>
    </row>
    <row r="977" spans="22:24" x14ac:dyDescent="0.25">
      <c r="V977"/>
      <c r="W977"/>
      <c r="X977"/>
    </row>
    <row r="978" spans="22:24" x14ac:dyDescent="0.25">
      <c r="V978"/>
      <c r="W978"/>
      <c r="X978"/>
    </row>
    <row r="979" spans="22:24" x14ac:dyDescent="0.25">
      <c r="V979"/>
      <c r="W979"/>
      <c r="X979"/>
    </row>
    <row r="980" spans="22:24" x14ac:dyDescent="0.25">
      <c r="V980"/>
      <c r="W980"/>
      <c r="X980"/>
    </row>
    <row r="981" spans="22:24" x14ac:dyDescent="0.25">
      <c r="V981"/>
      <c r="W981"/>
      <c r="X981"/>
    </row>
    <row r="982" spans="22:24" x14ac:dyDescent="0.25">
      <c r="V982"/>
      <c r="W982"/>
      <c r="X982"/>
    </row>
    <row r="983" spans="22:24" x14ac:dyDescent="0.25">
      <c r="V983"/>
      <c r="W983"/>
      <c r="X983"/>
    </row>
    <row r="984" spans="22:24" x14ac:dyDescent="0.25">
      <c r="V984"/>
      <c r="W984"/>
      <c r="X984"/>
    </row>
    <row r="985" spans="22:24" x14ac:dyDescent="0.25">
      <c r="V985"/>
      <c r="W985"/>
      <c r="X985"/>
    </row>
    <row r="986" spans="22:24" x14ac:dyDescent="0.25">
      <c r="V986"/>
      <c r="W986"/>
      <c r="X986"/>
    </row>
    <row r="987" spans="22:24" x14ac:dyDescent="0.25">
      <c r="V987"/>
      <c r="W987"/>
      <c r="X987"/>
    </row>
    <row r="988" spans="22:24" x14ac:dyDescent="0.25">
      <c r="V988"/>
      <c r="W988"/>
      <c r="X988"/>
    </row>
    <row r="989" spans="22:24" x14ac:dyDescent="0.25">
      <c r="V989"/>
      <c r="W989"/>
      <c r="X989"/>
    </row>
    <row r="990" spans="22:24" x14ac:dyDescent="0.25">
      <c r="V990"/>
      <c r="W990"/>
      <c r="X990"/>
    </row>
    <row r="991" spans="22:24" x14ac:dyDescent="0.25">
      <c r="V991"/>
      <c r="W991"/>
      <c r="X991"/>
    </row>
    <row r="992" spans="22:24" x14ac:dyDescent="0.25">
      <c r="V992"/>
      <c r="W992"/>
      <c r="X992"/>
    </row>
    <row r="993" spans="22:24" x14ac:dyDescent="0.25">
      <c r="V993"/>
      <c r="W993"/>
      <c r="X993"/>
    </row>
    <row r="994" spans="22:24" x14ac:dyDescent="0.25">
      <c r="V994"/>
      <c r="W994"/>
      <c r="X994"/>
    </row>
    <row r="995" spans="22:24" x14ac:dyDescent="0.25">
      <c r="V995"/>
      <c r="W995"/>
      <c r="X995"/>
    </row>
    <row r="996" spans="22:24" x14ac:dyDescent="0.25">
      <c r="V996"/>
      <c r="W996"/>
      <c r="X996"/>
    </row>
    <row r="997" spans="22:24" x14ac:dyDescent="0.25">
      <c r="V997"/>
      <c r="W997"/>
      <c r="X997"/>
    </row>
    <row r="998" spans="22:24" x14ac:dyDescent="0.25">
      <c r="V998"/>
      <c r="W998"/>
      <c r="X998"/>
    </row>
    <row r="999" spans="22:24" x14ac:dyDescent="0.25">
      <c r="V999"/>
      <c r="W999"/>
      <c r="X999"/>
    </row>
    <row r="1000" spans="22:24" x14ac:dyDescent="0.25">
      <c r="V1000"/>
      <c r="W1000"/>
      <c r="X1000"/>
    </row>
  </sheetData>
  <sortState ref="U2:X22">
    <sortCondition ref="U2"/>
    <sortCondition ref="W2"/>
  </sortState>
  <mergeCells count="25">
    <mergeCell ref="A16:B16"/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  <mergeCell ref="A12:B12"/>
    <mergeCell ref="A13:B13"/>
    <mergeCell ref="A14:B14"/>
    <mergeCell ref="C5:D5"/>
    <mergeCell ref="A10:B10"/>
    <mergeCell ref="A15:B15"/>
    <mergeCell ref="A9:B9"/>
    <mergeCell ref="A8:B8"/>
    <mergeCell ref="A6:B6"/>
    <mergeCell ref="A5:B5"/>
    <mergeCell ref="C7:D7"/>
    <mergeCell ref="C6:D6"/>
    <mergeCell ref="A7:B7"/>
    <mergeCell ref="A11:B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Wall_Loss_Vs_Time_Graph</vt:lpstr>
      <vt:lpstr>Wall_Loss_Vs_Time_Graph!Print_Area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2017-04-20T01:34:23Z</cp:lastPrinted>
  <dcterms:created xsi:type="dcterms:W3CDTF">2017-04-18T05:15:36Z</dcterms:created>
  <dcterms:modified xsi:type="dcterms:W3CDTF">2017-04-20T07:30:06Z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